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mran Pc\Downloads\"/>
    </mc:Choice>
  </mc:AlternateContent>
  <xr:revisionPtr revIDLastSave="0" documentId="13_ncr:1000001_{53A373FA-7F03-9745-9D0E-63213BD79547}" xr6:coauthVersionLast="47" xr6:coauthVersionMax="47" xr10:uidLastSave="{00000000-0000-0000-0000-000000000000}"/>
  <bookViews>
    <workbookView xWindow="-120" yWindow="-120" windowWidth="24240" windowHeight="13140" activeTab="5" xr2:uid="{00000000-000D-0000-FFFF-FFFF00000000}"/>
  </bookViews>
  <sheets>
    <sheet name="Project Brief" sheetId="1" r:id="rId1"/>
    <sheet name="Sheet1" sheetId="9" r:id="rId2"/>
    <sheet name="Raw Sales Data" sheetId="2" r:id="rId3"/>
    <sheet name="Product Master" sheetId="3" r:id="rId4"/>
    <sheet name="Employee Master" sheetId="4" r:id="rId5"/>
    <sheet name="Phase 1-2 Workspace" sheetId="5" r:id="rId6"/>
    <sheet name="Phase 3 Workspace" sheetId="6" r:id="rId7"/>
    <sheet name="Executive Dashboard" sheetId="7" r:id="rId8"/>
    <sheet name="Dashboard" sheetId="10" r:id="rId9"/>
    <sheet name="AI Audit" sheetId="8" r:id="rId10"/>
  </sheets>
  <definedNames>
    <definedName name="_xlnm._FilterDatabase" localSheetId="2" hidden="1">'Raw Sales Data'!$F$4:$F$103</definedName>
    <definedName name="_xlnm._FilterDatabase" localSheetId="1" hidden="1">Sheet1!$F$27:$G$33</definedName>
  </definedNames>
  <calcPr calcId="191028"/>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7" l="1"/>
  <c r="B5" i="7"/>
  <c r="A5" i="7"/>
  <c r="D14" i="6"/>
  <c r="D13" i="6"/>
  <c r="B13" i="6"/>
  <c r="D21" i="6"/>
  <c r="D22" i="6"/>
  <c r="D19" i="6"/>
  <c r="D20" i="6"/>
  <c r="D17" i="6"/>
  <c r="D18" i="6"/>
  <c r="D15" i="6"/>
  <c r="D16" i="6"/>
  <c r="B17" i="6"/>
  <c r="B16" i="6"/>
  <c r="B15" i="6"/>
  <c r="B14" i="6"/>
  <c r="B4" i="10"/>
  <c r="C4" i="10"/>
  <c r="A4" i="10"/>
  <c r="K5" i="2" a="1"/>
  <c r="K5" i="2"/>
  <c r="M5" i="2"/>
  <c r="K6" i="2" a="1"/>
  <c r="K6" i="2"/>
  <c r="M6" i="2"/>
  <c r="K7" i="2" a="1"/>
  <c r="K7" i="2"/>
  <c r="M7" i="2"/>
  <c r="K8" i="2" a="1"/>
  <c r="K8" i="2"/>
  <c r="M8" i="2"/>
  <c r="K9" i="2" a="1"/>
  <c r="K9" i="2"/>
  <c r="M9" i="2"/>
  <c r="K10" i="2" a="1"/>
  <c r="K10" i="2"/>
  <c r="M10" i="2"/>
  <c r="K11" i="2" a="1"/>
  <c r="K11" i="2"/>
  <c r="M11" i="2"/>
  <c r="K12" i="2" a="1"/>
  <c r="K12" i="2"/>
  <c r="M12" i="2"/>
  <c r="K13" i="2" a="1"/>
  <c r="K13" i="2"/>
  <c r="M13" i="2"/>
  <c r="K14" i="2" a="1"/>
  <c r="K14" i="2"/>
  <c r="M14" i="2"/>
  <c r="K15" i="2" a="1"/>
  <c r="K15" i="2"/>
  <c r="M15" i="2"/>
  <c r="K16" i="2" a="1"/>
  <c r="K16" i="2"/>
  <c r="M16" i="2"/>
  <c r="K17" i="2" a="1"/>
  <c r="K17" i="2"/>
  <c r="M17" i="2"/>
  <c r="K18" i="2" a="1"/>
  <c r="K18" i="2"/>
  <c r="M18" i="2"/>
  <c r="K19" i="2" a="1"/>
  <c r="K19" i="2"/>
  <c r="M19" i="2"/>
  <c r="K20" i="2" a="1"/>
  <c r="K20" i="2"/>
  <c r="M20" i="2"/>
  <c r="K21" i="2" a="1"/>
  <c r="K21" i="2"/>
  <c r="M21" i="2"/>
  <c r="K22" i="2" a="1"/>
  <c r="K22" i="2"/>
  <c r="M22" i="2"/>
  <c r="K23" i="2" a="1"/>
  <c r="K23" i="2"/>
  <c r="M23" i="2"/>
  <c r="K24" i="2" a="1"/>
  <c r="K24" i="2"/>
  <c r="M24" i="2"/>
  <c r="K25" i="2" a="1"/>
  <c r="K25" i="2"/>
  <c r="M25" i="2"/>
  <c r="K26" i="2" a="1"/>
  <c r="K26" i="2"/>
  <c r="M26" i="2"/>
  <c r="K27" i="2" a="1"/>
  <c r="K27" i="2"/>
  <c r="M27" i="2"/>
  <c r="K28" i="2" a="1"/>
  <c r="K28" i="2"/>
  <c r="M28" i="2"/>
  <c r="K29" i="2" a="1"/>
  <c r="K29" i="2"/>
  <c r="M29" i="2"/>
  <c r="K30" i="2" a="1"/>
  <c r="K30" i="2"/>
  <c r="M30" i="2"/>
  <c r="K31" i="2" a="1"/>
  <c r="K31" i="2"/>
  <c r="M31" i="2"/>
  <c r="K32" i="2" a="1"/>
  <c r="K32" i="2"/>
  <c r="M32" i="2"/>
  <c r="K33" i="2" a="1"/>
  <c r="K33" i="2"/>
  <c r="M33" i="2"/>
  <c r="K34" i="2" a="1"/>
  <c r="K34" i="2"/>
  <c r="M34" i="2"/>
  <c r="K35" i="2" a="1"/>
  <c r="K35" i="2"/>
  <c r="M35" i="2"/>
  <c r="K36" i="2" a="1"/>
  <c r="K36" i="2"/>
  <c r="M36" i="2"/>
  <c r="K37" i="2" a="1"/>
  <c r="K37" i="2"/>
  <c r="M37" i="2"/>
  <c r="K38" i="2" a="1"/>
  <c r="K38" i="2"/>
  <c r="M38" i="2"/>
  <c r="K39" i="2" a="1"/>
  <c r="K39" i="2"/>
  <c r="M39" i="2"/>
  <c r="K40" i="2" a="1"/>
  <c r="K40" i="2"/>
  <c r="M40" i="2"/>
  <c r="K41" i="2" a="1"/>
  <c r="K41" i="2"/>
  <c r="M41" i="2"/>
  <c r="K42" i="2" a="1"/>
  <c r="K42" i="2"/>
  <c r="M42" i="2"/>
  <c r="K43" i="2" a="1"/>
  <c r="K43" i="2"/>
  <c r="M43" i="2"/>
  <c r="K44" i="2" a="1"/>
  <c r="K44" i="2"/>
  <c r="M44" i="2"/>
  <c r="K45" i="2" a="1"/>
  <c r="K45" i="2"/>
  <c r="M45" i="2"/>
  <c r="K46" i="2" a="1"/>
  <c r="K46" i="2"/>
  <c r="M46" i="2"/>
  <c r="K47" i="2" a="1"/>
  <c r="K47" i="2"/>
  <c r="M47" i="2"/>
  <c r="K48" i="2" a="1"/>
  <c r="K48" i="2"/>
  <c r="M48" i="2"/>
  <c r="K49" i="2" a="1"/>
  <c r="K49" i="2"/>
  <c r="M49" i="2"/>
  <c r="K50" i="2" a="1"/>
  <c r="K50" i="2"/>
  <c r="M50" i="2"/>
  <c r="K51" i="2" a="1"/>
  <c r="K51" i="2"/>
  <c r="M51" i="2"/>
  <c r="K52" i="2" a="1"/>
  <c r="K52" i="2"/>
  <c r="M52" i="2"/>
  <c r="K53" i="2" a="1"/>
  <c r="K53" i="2"/>
  <c r="M53" i="2"/>
  <c r="K54" i="2" a="1"/>
  <c r="K54" i="2"/>
  <c r="M54" i="2"/>
  <c r="K55" i="2" a="1"/>
  <c r="K55" i="2"/>
  <c r="M55" i="2"/>
  <c r="K56" i="2" a="1"/>
  <c r="K56" i="2"/>
  <c r="M56" i="2"/>
  <c r="K57" i="2" a="1"/>
  <c r="K57" i="2"/>
  <c r="M57" i="2"/>
  <c r="K58" i="2" a="1"/>
  <c r="K58" i="2"/>
  <c r="M58" i="2"/>
  <c r="K59" i="2" a="1"/>
  <c r="K59" i="2"/>
  <c r="M59" i="2"/>
  <c r="K60" i="2" a="1"/>
  <c r="K60" i="2"/>
  <c r="M60" i="2"/>
  <c r="K61" i="2" a="1"/>
  <c r="K61" i="2"/>
  <c r="M61" i="2"/>
  <c r="K62" i="2" a="1"/>
  <c r="K62" i="2"/>
  <c r="M62" i="2"/>
  <c r="K63" i="2" a="1"/>
  <c r="K63" i="2"/>
  <c r="M63" i="2"/>
  <c r="K64" i="2" a="1"/>
  <c r="K64" i="2"/>
  <c r="M64" i="2"/>
  <c r="K65" i="2" a="1"/>
  <c r="K65" i="2"/>
  <c r="M65" i="2"/>
  <c r="K66" i="2" a="1"/>
  <c r="K66" i="2"/>
  <c r="M66" i="2"/>
  <c r="K67" i="2" a="1"/>
  <c r="K67" i="2"/>
  <c r="M67" i="2"/>
  <c r="K68" i="2" a="1"/>
  <c r="K68" i="2"/>
  <c r="M68" i="2"/>
  <c r="K69" i="2" a="1"/>
  <c r="K69" i="2"/>
  <c r="M69" i="2"/>
  <c r="K70" i="2" a="1"/>
  <c r="K70" i="2"/>
  <c r="M70" i="2"/>
  <c r="K71" i="2" a="1"/>
  <c r="K71" i="2"/>
  <c r="M71" i="2"/>
  <c r="K72" i="2" a="1"/>
  <c r="K72" i="2"/>
  <c r="M72" i="2"/>
  <c r="K73" i="2" a="1"/>
  <c r="K73" i="2"/>
  <c r="M73" i="2"/>
  <c r="K74" i="2" a="1"/>
  <c r="K74" i="2"/>
  <c r="M74" i="2"/>
  <c r="K75" i="2" a="1"/>
  <c r="K75" i="2"/>
  <c r="M75" i="2"/>
  <c r="K76" i="2" a="1"/>
  <c r="K76" i="2"/>
  <c r="M76" i="2"/>
  <c r="K77" i="2" a="1"/>
  <c r="K77" i="2"/>
  <c r="M77" i="2"/>
  <c r="K78" i="2" a="1"/>
  <c r="K78" i="2"/>
  <c r="M78" i="2"/>
  <c r="K79" i="2" a="1"/>
  <c r="K79" i="2"/>
  <c r="M79" i="2"/>
  <c r="K80" i="2" a="1"/>
  <c r="K80" i="2"/>
  <c r="M80" i="2"/>
  <c r="K81" i="2" a="1"/>
  <c r="K81" i="2"/>
  <c r="M81" i="2"/>
  <c r="K82" i="2" a="1"/>
  <c r="K82" i="2"/>
  <c r="M82" i="2"/>
  <c r="K83" i="2" a="1"/>
  <c r="K83" i="2"/>
  <c r="M83" i="2"/>
  <c r="K84" i="2" a="1"/>
  <c r="K84" i="2"/>
  <c r="M84" i="2"/>
  <c r="K85" i="2" a="1"/>
  <c r="K85" i="2"/>
  <c r="M85" i="2"/>
  <c r="K86" i="2" a="1"/>
  <c r="K86" i="2"/>
  <c r="M86" i="2"/>
  <c r="K87" i="2" a="1"/>
  <c r="K87" i="2"/>
  <c r="M87" i="2"/>
  <c r="K88" i="2" a="1"/>
  <c r="K88" i="2"/>
  <c r="M88" i="2"/>
  <c r="K89" i="2" a="1"/>
  <c r="K89" i="2"/>
  <c r="M89" i="2"/>
  <c r="K90" i="2" a="1"/>
  <c r="K90" i="2"/>
  <c r="M90" i="2"/>
  <c r="K91" i="2" a="1"/>
  <c r="K91" i="2"/>
  <c r="M91" i="2"/>
  <c r="K92" i="2" a="1"/>
  <c r="K92" i="2"/>
  <c r="M92" i="2"/>
  <c r="K93" i="2" a="1"/>
  <c r="K93" i="2"/>
  <c r="M93" i="2"/>
  <c r="K94" i="2" a="1"/>
  <c r="K94" i="2"/>
  <c r="M94" i="2"/>
  <c r="K95" i="2" a="1"/>
  <c r="K95" i="2"/>
  <c r="M95" i="2"/>
  <c r="K96" i="2" a="1"/>
  <c r="K96" i="2"/>
  <c r="M96" i="2"/>
  <c r="K97" i="2" a="1"/>
  <c r="K97" i="2"/>
  <c r="M97" i="2"/>
  <c r="K98" i="2" a="1"/>
  <c r="K98" i="2"/>
  <c r="M98" i="2"/>
  <c r="K99" i="2" a="1"/>
  <c r="K99" i="2"/>
  <c r="M99" i="2"/>
  <c r="K4" i="2" a="1"/>
  <c r="K4" i="2"/>
  <c r="M4" i="2"/>
  <c r="A11" i="5"/>
  <c r="A9" i="5"/>
  <c r="A8" i="5"/>
  <c r="A7" i="5"/>
  <c r="A6" i="5"/>
  <c r="A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<sst xmlns="http://schemas.openxmlformats.org/spreadsheetml/2006/main" count="1557" uniqueCount="487">
  <si>
    <t>FINAL PROJECT — Vantree Retail Group: 1-Year Sales Analysis</t>
  </si>
  <si>
    <t>This is your Month 1-2 capstone. Every skill from Weeks 1 through 7 is required somewhere in this project. No new tools this week — this week is about combining everything correctly.</t>
  </si>
  <si>
    <t>THE SCENARIO</t>
  </si>
  <si>
    <t>Vantree Retail Group's board meets in 5 days for the annual review.</t>
  </si>
  <si>
    <t>The raw sales export you were given covers 12 months and has NOT been cleaned.</t>
  </si>
  <si>
    <t>It has the same problems Orbitex had in Week 2, PLUS the text formatting</t>
  </si>
  <si>
    <t>problems from Week 7 — combined fields, inconsistent casing, duplicate entries.</t>
  </si>
  <si>
    <t>Your job: clean it, validate it, enrich it with lookups, aggregate it, and</t>
  </si>
  <si>
    <t>present a final dashboard with a written executive summary.</t>
  </si>
  <si>
    <t>THE FIVE PHASES — EVERY SKILL FROM MONTH 1-2 MAPPED TO A STEP</t>
  </si>
  <si>
    <t>Phase</t>
  </si>
  <si>
    <t>Skill Required</t>
  </si>
  <si>
    <t>What You Do</t>
  </si>
  <si>
    <t>Sheet To Use</t>
  </si>
  <si>
    <t>Week It's From</t>
  </si>
  <si>
    <t>Phase 1</t>
  </si>
  <si>
    <t>Text Functions + Duplicates</t>
  </si>
  <si>
    <t>Clean Rep Name, Region, and Product columns. Remove duplicate orders.</t>
  </si>
  <si>
    <t>Raw Sales Data</t>
  </si>
  <si>
    <t>Week 7</t>
  </si>
  <si>
    <t>Phase 2</t>
  </si>
  <si>
    <t>IF / AND / OR + Data Validation</t>
  </si>
  <si>
    <t>Flag negative quantities, impossible dates, and orders needing review.</t>
  </si>
  <si>
    <t>Raw Sales Data (new columns)</t>
  </si>
  <si>
    <t>Week 1-2</t>
  </si>
  <si>
    <t>Phase 3</t>
  </si>
  <si>
    <t>VLOOKUP / INDEX MATCH</t>
  </si>
  <si>
    <t>Pull Unit Price and Department from Product Master and Employee Master.</t>
  </si>
  <si>
    <t>Week 3</t>
  </si>
  <si>
    <t>Phase 4</t>
  </si>
  <si>
    <t>SUMIFS / COUNTIFS</t>
  </si>
  <si>
    <t>Build the KPI Summary Row — total revenue, orders per rep, category totals.</t>
  </si>
  <si>
    <t>Executive Dashboard</t>
  </si>
  <si>
    <t>Week 5</t>
  </si>
  <si>
    <t>Phase 5</t>
  </si>
  <si>
    <t>Pivot Tables + Charts + KPIs</t>
  </si>
  <si>
    <t>Build the final dashboard — Region, Category, Monthly Trend, Rep Ranking.</t>
  </si>
  <si>
    <t>Week 4 &amp; 6</t>
  </si>
  <si>
    <t>FINAL DELIVERABLE — EXECUTIVE SUMMARY</t>
  </si>
  <si>
    <t>After the dashboard is built, write a 5-7 sentence executive summary on the Executive Dashboard sheet: what changed year over year, which region/category needs attention, and one clear recommendation. No AI drafting this part — this is the one piece that must be entirely yours.</t>
  </si>
  <si>
    <t>VANTREE RETAIL GROUP — 1-Year Raw Sales Export (Uncleaned)</t>
  </si>
  <si>
    <t>Same category of problems as Orbitex (Week 2) plus text formatting issues (Week 7). This is the messiest dataset in your journey so far — on purpose.</t>
  </si>
  <si>
    <t>Order ID</t>
  </si>
  <si>
    <t>Order Date</t>
  </si>
  <si>
    <t>Rep ID</t>
  </si>
  <si>
    <t>Product Code</t>
  </si>
  <si>
    <t>Quantity</t>
  </si>
  <si>
    <t>Employee ID Ref</t>
  </si>
  <si>
    <t>Delivery Date</t>
  </si>
  <si>
    <t>Payment Method</t>
  </si>
  <si>
    <t>Return Status</t>
  </si>
  <si>
    <t>VT-0001</t>
  </si>
  <si>
    <t>2025-01-04</t>
  </si>
  <si>
    <t>E002</t>
  </si>
  <si>
    <t>Sarah Connor</t>
  </si>
  <si>
    <t>EL-2205</t>
  </si>
  <si>
    <t>2025-01-08</t>
  </si>
  <si>
    <t>PayPal</t>
  </si>
  <si>
    <t>No</t>
  </si>
  <si>
    <t>VT-0002</t>
  </si>
  <si>
    <t>2025-01-07</t>
  </si>
  <si>
    <t>E003</t>
  </si>
  <si>
    <t>EL-2210</t>
  </si>
  <si>
    <t>2025-01-12</t>
  </si>
  <si>
    <t>Debit Card</t>
  </si>
  <si>
    <t>VT-0003</t>
  </si>
  <si>
    <t>2025-01-10</t>
  </si>
  <si>
    <t>E004</t>
  </si>
  <si>
    <t>CL-1102</t>
  </si>
  <si>
    <t>2025-01-13</t>
  </si>
  <si>
    <t>Credit Card</t>
  </si>
  <si>
    <t>VT-0004</t>
  </si>
  <si>
    <t>E005</t>
  </si>
  <si>
    <t>South</t>
  </si>
  <si>
    <t>Clothing</t>
  </si>
  <si>
    <t>CL-1108</t>
  </si>
  <si>
    <t>VT-0005</t>
  </si>
  <si>
    <t>2025-01-16</t>
  </si>
  <si>
    <t>E006</t>
  </si>
  <si>
    <t>CL-1120</t>
  </si>
  <si>
    <t>2025-01-20</t>
  </si>
  <si>
    <t>VT-0006</t>
  </si>
  <si>
    <t>2025-01-19</t>
  </si>
  <si>
    <t>E007</t>
  </si>
  <si>
    <t>David Lee</t>
  </si>
  <si>
    <t>Home Appliances</t>
  </si>
  <si>
    <t>HA-3301</t>
  </si>
  <si>
    <t>2025-01-22</t>
  </si>
  <si>
    <t>VT-0007</t>
  </si>
  <si>
    <t>E008</t>
  </si>
  <si>
    <t>Jennifer Taylor</t>
  </si>
  <si>
    <t>East</t>
  </si>
  <si>
    <t>HA-3305</t>
  </si>
  <si>
    <t>2025-01-27</t>
  </si>
  <si>
    <t>VT-0008</t>
  </si>
  <si>
    <t>2025-01-25</t>
  </si>
  <si>
    <t>E009</t>
  </si>
  <si>
    <t>Beauty</t>
  </si>
  <si>
    <t>HA-3308</t>
  </si>
  <si>
    <t>2025-01-28</t>
  </si>
  <si>
    <t>VT-0009</t>
  </si>
  <si>
    <t>2025-02-04</t>
  </si>
  <si>
    <t>E010</t>
  </si>
  <si>
    <t>Amanda Thomas</t>
  </si>
  <si>
    <t>BE-4401</t>
  </si>
  <si>
    <t>2025-02-07</t>
  </si>
  <si>
    <t>VT-0010</t>
  </si>
  <si>
    <t>E001</t>
  </si>
  <si>
    <t>West</t>
  </si>
  <si>
    <t>Sports</t>
  </si>
  <si>
    <t>BE-4402</t>
  </si>
  <si>
    <t>2025-02-10</t>
  </si>
  <si>
    <t>VT-0011</t>
  </si>
  <si>
    <t>BE-4408</t>
  </si>
  <si>
    <t>2025-02-14</t>
  </si>
  <si>
    <t>Yes</t>
  </si>
  <si>
    <t>VT-0012</t>
  </si>
  <si>
    <t>2025-02-13</t>
  </si>
  <si>
    <t>North</t>
  </si>
  <si>
    <t>Electronics</t>
  </si>
  <si>
    <t>SP-5501</t>
  </si>
  <si>
    <t>2025-02-18</t>
  </si>
  <si>
    <t>VT-0013</t>
  </si>
  <si>
    <t>2025-02-16</t>
  </si>
  <si>
    <t>SP-5505</t>
  </si>
  <si>
    <t>2025-02-19</t>
  </si>
  <si>
    <t>VT-0014</t>
  </si>
  <si>
    <t>SP-5510</t>
  </si>
  <si>
    <t>VT-0015</t>
  </si>
  <si>
    <t>2025-02-22</t>
  </si>
  <si>
    <t>EL-2201</t>
  </si>
  <si>
    <t>2025-02-26</t>
  </si>
  <si>
    <t>VT-0016</t>
  </si>
  <si>
    <t>2025-02-25</t>
  </si>
  <si>
    <t>2025-02-28</t>
  </si>
  <si>
    <t>VT-0017</t>
  </si>
  <si>
    <t>2025-03-04</t>
  </si>
  <si>
    <t>2025-03-09</t>
  </si>
  <si>
    <t>VT-0018</t>
  </si>
  <si>
    <t>2025-03-07</t>
  </si>
  <si>
    <t>2025-03-11</t>
  </si>
  <si>
    <t>VT-0019</t>
  </si>
  <si>
    <t>2025-03-10</t>
  </si>
  <si>
    <t>2025-03-13</t>
  </si>
  <si>
    <t>VT-0020</t>
  </si>
  <si>
    <t>2025-03-16</t>
  </si>
  <si>
    <t>VT-0021</t>
  </si>
  <si>
    <t>2025-03-20</t>
  </si>
  <si>
    <t>VT-0022</t>
  </si>
  <si>
    <t>2025-03-19</t>
  </si>
  <si>
    <t>2025-03-24</t>
  </si>
  <si>
    <t>VT-0023</t>
  </si>
  <si>
    <t>2025-03-22</t>
  </si>
  <si>
    <t>2025-03-25</t>
  </si>
  <si>
    <t>VT-0024</t>
  </si>
  <si>
    <t>VT-0025</t>
  </si>
  <si>
    <t>2025-04-04</t>
  </si>
  <si>
    <t>2025-04-08</t>
  </si>
  <si>
    <t>VT-0026</t>
  </si>
  <si>
    <t>2025-04-07</t>
  </si>
  <si>
    <t>2025-04-10</t>
  </si>
  <si>
    <t>VT-0027</t>
  </si>
  <si>
    <t>2025-04-15</t>
  </si>
  <si>
    <t>VT-0028</t>
  </si>
  <si>
    <t>2025-04-13</t>
  </si>
  <si>
    <t>2025-04-17</t>
  </si>
  <si>
    <t>VT-0029</t>
  </si>
  <si>
    <t>2025-04-16</t>
  </si>
  <si>
    <t>2025-04-19</t>
  </si>
  <si>
    <t>VT-0030</t>
  </si>
  <si>
    <t>2025-04-22</t>
  </si>
  <si>
    <t>VT-0031</t>
  </si>
  <si>
    <t>2025-04-26</t>
  </si>
  <si>
    <t>VT-0032</t>
  </si>
  <si>
    <t>2025-04-25</t>
  </si>
  <si>
    <t>2025-04-28</t>
  </si>
  <si>
    <t>VT-0033</t>
  </si>
  <si>
    <t>2025-05-04</t>
  </si>
  <si>
    <t>2025-05-07</t>
  </si>
  <si>
    <t>VT-0034</t>
  </si>
  <si>
    <t>VT-0035</t>
  </si>
  <si>
    <t>2025-05-10</t>
  </si>
  <si>
    <t>2025-05-14</t>
  </si>
  <si>
    <t>VT-0036</t>
  </si>
  <si>
    <t>2025-05-13</t>
  </si>
  <si>
    <t>2025-05-16</t>
  </si>
  <si>
    <t>VT-0037</t>
  </si>
  <si>
    <t>2025-05-21</t>
  </si>
  <si>
    <t>VT-0038</t>
  </si>
  <si>
    <t>2025-05-19</t>
  </si>
  <si>
    <t>2025-05-23</t>
  </si>
  <si>
    <t>VT-0039</t>
  </si>
  <si>
    <t>2025-05-22</t>
  </si>
  <si>
    <t>2025-05-25</t>
  </si>
  <si>
    <t>VT-0040</t>
  </si>
  <si>
    <t>2025-05-28</t>
  </si>
  <si>
    <t>VT-0041</t>
  </si>
  <si>
    <t>2025-06-04</t>
  </si>
  <si>
    <t>2025-06-08</t>
  </si>
  <si>
    <t>VT-0042</t>
  </si>
  <si>
    <t>2025-06-07</t>
  </si>
  <si>
    <t>2025-06-12</t>
  </si>
  <si>
    <t>VT-0043</t>
  </si>
  <si>
    <t>2025-06-10</t>
  </si>
  <si>
    <t>2025-06-13</t>
  </si>
  <si>
    <t>VT-0044</t>
  </si>
  <si>
    <t>VT-0045</t>
  </si>
  <si>
    <t>2025-06-16</t>
  </si>
  <si>
    <t>2025-06-20</t>
  </si>
  <si>
    <t>VT-0046</t>
  </si>
  <si>
    <t>2025-06-19</t>
  </si>
  <si>
    <t>2025-06-22</t>
  </si>
  <si>
    <t>VT-0047</t>
  </si>
  <si>
    <t>2025-06-27</t>
  </si>
  <si>
    <t>VT-0048</t>
  </si>
  <si>
    <t>2025-06-25</t>
  </si>
  <si>
    <t>2025-06-28</t>
  </si>
  <si>
    <t>VT-0049</t>
  </si>
  <si>
    <t>2025-07-04</t>
  </si>
  <si>
    <t>2025-07-07</t>
  </si>
  <si>
    <t>VT-0050</t>
  </si>
  <si>
    <t>2025-07-10</t>
  </si>
  <si>
    <t>VT-0051</t>
  </si>
  <si>
    <t>2025-07-14</t>
  </si>
  <si>
    <t>VT-0052</t>
  </si>
  <si>
    <t>2025-07-13</t>
  </si>
  <si>
    <t>2025-07-18</t>
  </si>
  <si>
    <t>VT-0053</t>
  </si>
  <si>
    <t>2025-07-16</t>
  </si>
  <si>
    <t>2025-07-19</t>
  </si>
  <si>
    <t>VT-0054</t>
  </si>
  <si>
    <t>VT-0055</t>
  </si>
  <si>
    <t>2025-07-22</t>
  </si>
  <si>
    <t>2025-07-26</t>
  </si>
  <si>
    <t>VT-0056</t>
  </si>
  <si>
    <t>2025-07-25</t>
  </si>
  <si>
    <t>2025-07-28</t>
  </si>
  <si>
    <t>VT-0057</t>
  </si>
  <si>
    <t>2025-08-04</t>
  </si>
  <si>
    <t>2025-08-09</t>
  </si>
  <si>
    <t>VT-0058</t>
  </si>
  <si>
    <t>2025-08-07</t>
  </si>
  <si>
    <t>2025-08-11</t>
  </si>
  <si>
    <t>VT-0059</t>
  </si>
  <si>
    <t>2025-08-10</t>
  </si>
  <si>
    <t>2025-08-13</t>
  </si>
  <si>
    <t>VT-0060</t>
  </si>
  <si>
    <t>2025-08-16</t>
  </si>
  <si>
    <t>VT-0061</t>
  </si>
  <si>
    <t>2025-08-20</t>
  </si>
  <si>
    <t>VT-0062</t>
  </si>
  <si>
    <t>2025-08-19</t>
  </si>
  <si>
    <t>2025-08-24</t>
  </si>
  <si>
    <t>VT-0063</t>
  </si>
  <si>
    <t>2025-08-22</t>
  </si>
  <si>
    <t>2025-08-25</t>
  </si>
  <si>
    <t>VT-0064</t>
  </si>
  <si>
    <t>VT-0065</t>
  </si>
  <si>
    <t>2025-09-04</t>
  </si>
  <si>
    <t>2025-09-08</t>
  </si>
  <si>
    <t>VT-0066</t>
  </si>
  <si>
    <t>2025-09-07</t>
  </si>
  <si>
    <t>2025-09-10</t>
  </si>
  <si>
    <t>VT-0067</t>
  </si>
  <si>
    <t>2025-09-15</t>
  </si>
  <si>
    <t>VT-0068</t>
  </si>
  <si>
    <t>2025-09-13</t>
  </si>
  <si>
    <t>2025-09-17</t>
  </si>
  <si>
    <t>VT-0069</t>
  </si>
  <si>
    <t>2025-09-16</t>
  </si>
  <si>
    <t>2025-09-19</t>
  </si>
  <si>
    <t>VT-0070</t>
  </si>
  <si>
    <t>2025-09-22</t>
  </si>
  <si>
    <t>VT-0071</t>
  </si>
  <si>
    <t>2025-09-26</t>
  </si>
  <si>
    <t>VT-0072</t>
  </si>
  <si>
    <t>2025-09-25</t>
  </si>
  <si>
    <t>2025-09-28</t>
  </si>
  <si>
    <t>VT-0073</t>
  </si>
  <si>
    <t>2025-10-04</t>
  </si>
  <si>
    <t>2025-10-07</t>
  </si>
  <si>
    <t>VT-0074</t>
  </si>
  <si>
    <t>VT-0075</t>
  </si>
  <si>
    <t>2025-10-10</t>
  </si>
  <si>
    <t>2025-10-14</t>
  </si>
  <si>
    <t>VT-0076</t>
  </si>
  <si>
    <t>2025-10-13</t>
  </si>
  <si>
    <t>2025-10-16</t>
  </si>
  <si>
    <t>VT-0077</t>
  </si>
  <si>
    <t>2025-10-21</t>
  </si>
  <si>
    <t>VT-0078</t>
  </si>
  <si>
    <t>2025-10-19</t>
  </si>
  <si>
    <t>2025-10-23</t>
  </si>
  <si>
    <t>VT-0079</t>
  </si>
  <si>
    <t>2025-10-22</t>
  </si>
  <si>
    <t>2025-10-25</t>
  </si>
  <si>
    <t>VT-0080</t>
  </si>
  <si>
    <t>2025-10-28</t>
  </si>
  <si>
    <t>VT-0081</t>
  </si>
  <si>
    <t>2025-11-04</t>
  </si>
  <si>
    <t>2025-11-08</t>
  </si>
  <si>
    <t>VT-0082</t>
  </si>
  <si>
    <t>2025-11-07</t>
  </si>
  <si>
    <t>2025-11-12</t>
  </si>
  <si>
    <t>VT-0083</t>
  </si>
  <si>
    <t>2025-11-10</t>
  </si>
  <si>
    <t>2025-11-13</t>
  </si>
  <si>
    <t>VT-0084</t>
  </si>
  <si>
    <t>VT-0085</t>
  </si>
  <si>
    <t>2025-11-16</t>
  </si>
  <si>
    <t>2025-11-20</t>
  </si>
  <si>
    <t>VT-0086</t>
  </si>
  <si>
    <t>2025-11-19</t>
  </si>
  <si>
    <t>2025-11-22</t>
  </si>
  <si>
    <t>VT-0087</t>
  </si>
  <si>
    <t>2025-11-27</t>
  </si>
  <si>
    <t>VT-0088</t>
  </si>
  <si>
    <t>2025-11-25</t>
  </si>
  <si>
    <t>2025-11-28</t>
  </si>
  <si>
    <t>VT-0089</t>
  </si>
  <si>
    <t>2025-12-04</t>
  </si>
  <si>
    <t>2025-12-07</t>
  </si>
  <si>
    <t>VT-0090</t>
  </si>
  <si>
    <t>2025-12-10</t>
  </si>
  <si>
    <t>VT-0091</t>
  </si>
  <si>
    <t>2025-12-14</t>
  </si>
  <si>
    <t>VT-0092</t>
  </si>
  <si>
    <t>2025-12-13</t>
  </si>
  <si>
    <t>2025-12-18</t>
  </si>
  <si>
    <t>VT-0093</t>
  </si>
  <si>
    <t>2025-12-16</t>
  </si>
  <si>
    <t>2025-12-19</t>
  </si>
  <si>
    <t>VT-0094</t>
  </si>
  <si>
    <t>VT-0095</t>
  </si>
  <si>
    <t>2025-12-22</t>
  </si>
  <si>
    <t>2025-12-26</t>
  </si>
  <si>
    <t>VT-0096</t>
  </si>
  <si>
    <t>2025-12-25</t>
  </si>
  <si>
    <t>2025-12-28</t>
  </si>
  <si>
    <t>Product Master — Lookup Source for Phase 3</t>
  </si>
  <si>
    <t>Product Name</t>
  </si>
  <si>
    <t>Category</t>
  </si>
  <si>
    <t>Unit Price ($)</t>
  </si>
  <si>
    <t>iPhone 15</t>
  </si>
  <si>
    <t>Samsung TV</t>
  </si>
  <si>
    <t>Dell Laptop</t>
  </si>
  <si>
    <t>Nike Hoodie</t>
  </si>
  <si>
    <t>Levi Jeans</t>
  </si>
  <si>
    <t>Ralph Lauren Polo</t>
  </si>
  <si>
    <t>Dyson Vacuum</t>
  </si>
  <si>
    <t>KitchenAid Mixer</t>
  </si>
  <si>
    <t>Instant Pot</t>
  </si>
  <si>
    <t>Fenty Foundation</t>
  </si>
  <si>
    <t>Dior Perfume</t>
  </si>
  <si>
    <t>Urban Decay Palette</t>
  </si>
  <si>
    <t>Peloton Bike</t>
  </si>
  <si>
    <t>Garmin Watch</t>
  </si>
  <si>
    <t>Yeti Cooler</t>
  </si>
  <si>
    <t>Employee Master — Lookup Source for Phase 3</t>
  </si>
  <si>
    <t>Employee ID</t>
  </si>
  <si>
    <t>Employee Name</t>
  </si>
  <si>
    <t>Department</t>
  </si>
  <si>
    <t>Years With Company</t>
  </si>
  <si>
    <t>James Wilson</t>
  </si>
  <si>
    <t>Sales</t>
  </si>
  <si>
    <t>Mike Johnson</t>
  </si>
  <si>
    <t>Emily Davis</t>
  </si>
  <si>
    <t>Robert Brown</t>
  </si>
  <si>
    <t>Lisa Martinez</t>
  </si>
  <si>
    <t>Chris Anderson</t>
  </si>
  <si>
    <t>Phase 1-2 — Cleaning and Validation Workspace</t>
  </si>
  <si>
    <t>Build helper columns here referencing 'Raw Sales Data'. Every formula type is one you've already used in Weeks 1, 2, and 7.</t>
  </si>
  <si>
    <t>Task</t>
  </si>
  <si>
    <t>Your Formula</t>
  </si>
  <si>
    <t>Result</t>
  </si>
  <si>
    <t>Clean Rep Name</t>
  </si>
  <si>
    <t>TRIM + PROPER the raw name — Week 7 skill</t>
  </si>
  <si>
    <t>Standardize Region</t>
  </si>
  <si>
    <t>Fix North/north/NORTH/N. into one consistent value — Week 7 + Week 2 skill</t>
  </si>
  <si>
    <t>Standardize Category</t>
  </si>
  <si>
    <t>Fix Electronics/electronics/Elect. into one consistent value — Week 7 skill</t>
  </si>
  <si>
    <t>Flag Negative Quantity</t>
  </si>
  <si>
    <t>IF quantity &lt; 0 return Quantity Error — Week 2 skill</t>
  </si>
  <si>
    <t>Flag Impossible Delivery Date</t>
  </si>
  <si>
    <t>IF delivery date &lt; order date return Date Error — Week 2 skill</t>
  </si>
  <si>
    <t>Flag Duplicate Order</t>
  </si>
  <si>
    <t>COUNTIFS on Rep + Product + Date &gt; 1 return Duplicate — Week 2 + 7 skill</t>
  </si>
  <si>
    <t>For a real cleanup, build a helper column for EVERY row in Raw Sales Data (not just 6 examples above), then apply the same logic across all rows before moving to Phase 3.</t>
  </si>
  <si>
    <t>Phase 3 — Enrichment with VLOOKUP / INDEX MATCH</t>
  </si>
  <si>
    <t>Pull Unit Price and Category from Product Master. Pull Department and Years With Company from Employee Master. Same logic as Week 3.</t>
  </si>
  <si>
    <t>What To Pull</t>
  </si>
  <si>
    <t>Source Sheet</t>
  </si>
  <si>
    <t>Unit Price for this order's Product Code</t>
  </si>
  <si>
    <t>Product Master</t>
  </si>
  <si>
    <t>Product Name for this order's Product Code</t>
  </si>
  <si>
    <t>Employee Name for this order's Employee ID</t>
  </si>
  <si>
    <t>Employee Master</t>
  </si>
  <si>
    <t>Department for this order's Employee ID</t>
  </si>
  <si>
    <t>Years With Company for this order's Employee ID</t>
  </si>
  <si>
    <t>Vantree Retail Group — Annual Sales Review Dashboard</t>
  </si>
  <si>
    <t>KPI SUMMARY ROW — Build using SUMIFS / COUNTIFS / INDEX MATCH (Week 4 &amp; 5)</t>
  </si>
  <si>
    <t>Total Revenue</t>
  </si>
  <si>
    <t>Total Orders</t>
  </si>
  <si>
    <t>Return Rate</t>
  </si>
  <si>
    <t>Top Region</t>
  </si>
  <si>
    <t>Top Rep</t>
  </si>
  <si>
    <t>Top Category</t>
  </si>
  <si>
    <t>REQUIRED CHARTS — Build using Pivot Tables (Week 4)</t>
  </si>
  <si>
    <t>Revenue by Region</t>
  </si>
  <si>
    <t>Bar chart, sorted highest to lowest</t>
  </si>
  <si>
    <t>Monthly Revenue Trend</t>
  </si>
  <si>
    <t>Line chart with trendline (Week 6)</t>
  </si>
  <si>
    <t>Revenue by Category</t>
  </si>
  <si>
    <t>Bar or pie chart</t>
  </si>
  <si>
    <t>Sales Rep Ranking</t>
  </si>
  <si>
    <t>Pivot table with Icon Sets (Week 4)</t>
  </si>
  <si>
    <t>Return Rate by Category</t>
  </si>
  <si>
    <t>Bar chart — which category has the most returns</t>
  </si>
  <si>
    <t>EXECUTIVE SUMMARY — Write this entirely yourself, no AI drafting</t>
  </si>
  <si>
    <t>Week 8 — Final Project AI Audit Log</t>
  </si>
  <si>
    <t>This is the most important audit of Month 1-2. Give AI the FULL project brief, not individual formulas. See how it handles a multi-phase task versus a single formula.</t>
  </si>
  <si>
    <t>AUDIT 1 — Give AI the entire Phase 1-2 cleaning task at once. Does it handle all 6 sub-tasks correctly, or does it miss some?</t>
  </si>
  <si>
    <t>Task given to AI</t>
  </si>
  <si>
    <t>Exact output AI produced</t>
  </si>
  <si>
    <t>Was AI correct? Yes / No / Partially</t>
  </si>
  <si>
    <t>What was wrong or missing</t>
  </si>
  <si>
    <t>Error type: Range / Logic / Assumption / Generic output / Other</t>
  </si>
  <si>
    <t>How I caught it</t>
  </si>
  <si>
    <t>What this reveals about AI on multi-step business projects</t>
  </si>
  <si>
    <t>AUDIT 2 — Give AI the Phase 3 lookup task. Does it correctly choose VLOOKUP vs INDEX MATCH based on which direction it needs to look?</t>
  </si>
  <si>
    <t>AUDIT 3 — Ask AI to write the KPI Summary Row formulas. Check every single one against manual calculation.</t>
  </si>
  <si>
    <t>AUDIT 4 — Ask AI to write the Executive Summary. Compare its version to yours — is it generic, or does it reflect the ACTUAL numbers in your dashboard?</t>
  </si>
  <si>
    <t>Row Labels</t>
  </si>
  <si>
    <t>Grand Total</t>
  </si>
  <si>
    <t>Region</t>
  </si>
  <si>
    <t>Rep Name</t>
  </si>
  <si>
    <t>1</t>
  </si>
  <si>
    <t>VLOOKUP(VLOOKUP(A5,'Raw Sales Data'!A4:L99,7,FALSE),'Product Master'!A4:D18,4,FALSE)</t>
  </si>
  <si>
    <t>VLOOKUP(VLOOKUP(A6,'Raw Sales Data'!A4:L99,7,FALSE),'Product Master'!A4:D18,2,FALSE)</t>
  </si>
  <si>
    <t>VLOOKUP(VLOOKUP(A7,'Raw Sales Data'!A4:L99,9,FALSE),'Employee Master'!A4:D13,2,FALSE)</t>
  </si>
  <si>
    <t>VLOOKUP(VLOOKUP('Phase 3 Workspace'!A8,'Raw Sales Data'!A4:L99,9,FALSE),'Employee Master'!A4:D13,3,FALSE)</t>
  </si>
  <si>
    <t>VLOOKUP(VLOOKUP(A9,'Raw Sales Data'!A4:L99,9,FALSE),'Employee Master'!A4:D13,4,FALSE)</t>
  </si>
  <si>
    <t>Nested Vlookup</t>
  </si>
  <si>
    <t>Vlookup + IndexMatch</t>
  </si>
  <si>
    <t>TRIM(PROPER('Raw Sales Data'!D4:D99))</t>
  </si>
  <si>
    <t>didn't do it with any signle formula i first standardize the region with trim+text then used pivot table to get know if there is any other value except North, East, West, South then N. region came out which was actually north so I used built-in find and replace tool and replaced N. with North</t>
  </si>
  <si>
    <t>Same as standardizing category I first cleaned the category with trim+Proper then used pivot table and Elect. Came out which I repaced with find and replace tool both region and category replacement can be done with substitute but it takes to copy or dragging out the entire column values to apply formula</t>
  </si>
  <si>
    <t>COUNTIF(C9,"impossible")</t>
  </si>
  <si>
    <t>IF(COUNTIFS('Raw Sales Data'!A4:L99,'Raw Sales Data'!D4,'Raw Sales Data'!A4:L99,'Raw Sales Data'!G4,'Raw Sales Data'!A4:L99,'Raw Sales Data'!J4)&gt;1,"duplicate","normal")</t>
  </si>
  <si>
    <t>Unit Price</t>
  </si>
  <si>
    <t>Revenue</t>
  </si>
  <si>
    <t>Sum of Revenue</t>
  </si>
  <si>
    <t>Month</t>
  </si>
  <si>
    <t>January</t>
  </si>
  <si>
    <t>February</t>
  </si>
  <si>
    <t>March</t>
  </si>
  <si>
    <t>April</t>
  </si>
  <si>
    <t>May</t>
  </si>
  <si>
    <t>June</t>
  </si>
  <si>
    <t>July</t>
  </si>
  <si>
    <t>August</t>
  </si>
  <si>
    <t>September</t>
  </si>
  <si>
    <t>October</t>
  </si>
  <si>
    <t>November</t>
  </si>
  <si>
    <t>December</t>
  </si>
  <si>
    <t>Sales Rep</t>
  </si>
  <si>
    <t>Top Bottom Sales Rap performance</t>
  </si>
  <si>
    <t>Count of Return Status</t>
  </si>
  <si>
    <t>Vantree Retail Group - Annual Sales Analysis Dashboard</t>
  </si>
  <si>
    <t>Nothing</t>
  </si>
  <si>
    <t>Comparing to my answer</t>
  </si>
  <si>
    <t xml:space="preserve">Since ai is Based on algorithms, statistics, systems, workflows it can understand and handle multi-step business projects very well but only if the command is clear only if there is clarity telling ai everything what it actually needs to do </t>
  </si>
  <si>
    <t>Phase 1-2 cleaning task at once</t>
  </si>
  <si>
    <t>Phase 3 lookup task</t>
  </si>
  <si>
    <t>VLOOKUP(VLOOKUP(A5,'Raw Sales Data'!A4:O99,8,FALSE),'Product Master'!A4:D18,4,FALSE), (INDEX('Raw Sales Data'!A4:O99,MATCH('Phase 3 Workspace'!A5,'Raw Sales Data'!A4:A99,0),8)) and VLOOKUP(D13,'Product Master'!A4:D18,4,FALSE)</t>
  </si>
  <si>
    <t>Comparing with my answer</t>
  </si>
  <si>
    <t>write the KPI Summary Row formulas</t>
  </si>
  <si>
    <t>SUM('Raw Sales Data'!M4:M99), COUNT('Raw Sales Data'!I4:I99), COUNTIF('Raw Sales Data'!O4:O99,"Yes")*B5/100, For Top Region, Top Rep, Top Category ai used pivot tables</t>
  </si>
  <si>
    <t>Write 5-7 sentences here: What changed year over year? Which region or category needs attention? What is your one clear recommendation to the board? Summery: The Business Need some more detailed Seasonal, Regional and Category analysis the pattern drived form five KPIs doesn't really shows anything specific but some matrics. The North is performing on top and the most returned category is Electronics while the most revenue is also gained in Electronics means that the revenue is shown in Electronics isn't really the revenue business has got mostly products in Electronics are returned while the revenue by month is pretty fluctuated every second month is being dropped by the sharpest amount and every second month has sharpest spike this pattern can bring some valuable and actionable insights if the sentimental analysis for monthly trend is done in more depth.</t>
  </si>
  <si>
    <t xml:space="preserve"> write the Executive Summary</t>
  </si>
  <si>
    <t>Year-over-year performance cannot be quantified from the supplied dashboard because it contains only one period of results and no prior-year comparison. Current revenue totals $59,850 across 87 orders, with a 6.96% return rate. The North region leads revenue at $25,045, while the West is the weakest at $5,787 and therefore needs the most attention. Electronics is the largest category at $25,045, but it also has the highest return-rate count shown, at 32, so margin quality and customer satisfaction warrant review. The South and East regions contribute $12,766 and $16,801 respectively, indicating that performance is concentrated in North and East. My recommendation to the board is to launch a focused West-region recovery plan while investigating Electronics returns before increasing investment in that category. Management should add prior-year revenue, orders, and return-rate data to the dashboard so future board decisions can be based on verified year-over-year trends.</t>
  </si>
  <si>
    <t>Checking for every thing which is important in dashboard summery or executive summery</t>
  </si>
  <si>
    <t>This shows that ai can understand and implement the business context in professional way while keeping any specific scenerio as given</t>
  </si>
  <si>
    <t>IF('Raw Sales Data'!B4&gt;'Raw Sales Data'!L4,"impossible","normal")</t>
  </si>
  <si>
    <t>COUNTIF('Raw Sales Data'!I4:I99,"&lt;1")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</si>
</sst>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quot;$&quot;#,##0.00"/>
  </numFmts>
  <fonts count="25" x14ac:knownFonts="1">
    <font>
      <sz val="11"/>
      <color theme="1"/>
      <name val="Calibri"/>
      <family val="2"/>
      <scheme val="minor"/>
    </font>
    <font>
      <b/>
      <sz val="14"/>
      <color rgb="FFFFFFFF"/>
      <name val="Arial"/>
    </font>
    <font>
      <sz val="9"/>
      <color rgb="FF7B2D00"/>
      <name val="Arial"/>
    </font>
    <font>
      <b/>
      <sz val="9"/>
      <color rgb="FFFFFFFF"/>
      <name val="Arial"/>
    </font>
    <font>
      <sz val="9"/>
      <color rgb="FF1A1A1A"/>
      <name val="Arial"/>
    </font>
    <font>
      <b/>
      <sz val="9"/>
      <color rgb="FF1A2B4A"/>
      <name val="Arial"/>
    </font>
    <font>
      <b/>
      <sz val="9"/>
      <color rgb="FF1A1A1A"/>
      <name val="Arial"/>
    </font>
    <font>
      <i/>
      <sz val="8"/>
      <color rgb="FF1A5C2A"/>
      <name val="Arial"/>
    </font>
    <font>
      <i/>
      <sz val="8"/>
      <color rgb="FF7B2D00"/>
      <name val="Arial"/>
    </font>
    <font>
      <b/>
      <sz val="13"/>
      <color rgb="FFFFFFFF"/>
      <name val="Arial"/>
    </font>
    <font>
      <i/>
      <sz val="9"/>
      <color rgb="FF1A1A1A"/>
      <name val="Arial"/>
    </font>
    <font>
      <i/>
      <sz val="8"/>
      <color rgb="FFAAAAAA"/>
      <name val="Arial"/>
    </font>
    <font>
      <i/>
      <sz val="7"/>
      <color rgb="FF1A5C2A"/>
      <name val="Arial"/>
    </font>
    <font>
      <i/>
      <sz val="9"/>
      <color rgb="FFAAAAAA"/>
      <name val="Arial"/>
    </font>
    <font>
      <b/>
      <sz val="9"/>
      <name val="Arial"/>
    </font>
    <font>
      <sz val="11"/>
      <color theme="1"/>
      <name val="Calibri"/>
      <family val="2"/>
      <scheme val="minor"/>
    </font>
    <font>
      <b/>
      <sz val="11"/>
      <color theme="0"/>
      <name val="Calibri"/>
      <family val="2"/>
      <scheme val="minor"/>
    </font>
    <font>
      <i/>
      <sz val="8"/>
      <color rgb="FFAAAAAA"/>
      <name val="Arial"/>
      <family val="2"/>
    </font>
    <font>
      <sz val="9"/>
      <color rgb="FF1A1A1A"/>
      <name val="Arial"/>
      <family val="2"/>
    </font>
    <font>
      <b/>
      <sz val="9"/>
      <color rgb="FFFFFFFF"/>
      <name val="Arial"/>
      <family val="2"/>
    </font>
    <font>
      <sz val="9"/>
      <color rgb="FF7B2D00"/>
      <name val="Arial"/>
      <family val="2"/>
    </font>
    <font>
      <b/>
      <sz val="22"/>
      <color theme="0"/>
      <name val="Calibri"/>
      <family val="2"/>
      <scheme val="minor"/>
    </font>
    <font>
      <b/>
      <sz val="22"/>
      <color theme="1"/>
      <name val="Calibri"/>
      <family val="2"/>
      <scheme val="minor"/>
    </font>
    <font>
      <b/>
      <i/>
      <sz val="9"/>
      <color rgb="FFAAAAAA"/>
      <name val="Arial"/>
      <family val="2"/>
    </font>
    <font>
      <b/>
      <sz val="10"/>
      <color rgb="FFFFFFFF"/>
      <name val="Arial"/>
      <family val="2"/>
    </font>
  </fonts>
  <fills count="19">
    <fill>
      <patternFill patternType="none"/>
    </fill>
    <fill>
      <patternFill patternType="gray125"/>
    </fill>
    <fill>
      <patternFill patternType="solid">
        <fgColor rgb="FF1A2B4A"/>
      </patternFill>
    </fill>
    <fill>
      <patternFill patternType="solid">
        <fgColor rgb="FFFCE9D4"/>
      </patternFill>
    </fill>
    <fill>
      <patternFill patternType="solid">
        <fgColor rgb="FF2E5FA3"/>
      </patternFill>
    </fill>
    <fill>
      <patternFill patternType="solid">
        <fgColor rgb="FFF5F5F5"/>
      </patternFill>
    </fill>
    <fill>
      <patternFill patternType="solid">
        <fgColor rgb="FFD6E4F7"/>
      </patternFill>
    </fill>
    <fill>
      <patternFill patternType="solid">
        <fgColor rgb="FFE2EFDA"/>
      </patternFill>
    </fill>
    <fill>
      <patternFill patternType="solid">
        <fgColor rgb="FFFFF2CC"/>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rgb="FF1960FF"/>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rgb="FF00B050"/>
        <bgColor indexed="64"/>
      </patternFill>
    </fill>
  </fills>
  <borders count="20">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indexed="64"/>
      </left>
      <right style="thin">
        <color indexed="64"/>
      </right>
      <top style="thin">
        <color indexed="64"/>
      </top>
      <bottom style="thin">
        <color rgb="FFCCCCCC"/>
      </bottom>
      <diagonal/>
    </border>
    <border>
      <left style="thin">
        <color indexed="64"/>
      </left>
      <right style="thin">
        <color indexed="64"/>
      </right>
      <top style="thin">
        <color rgb="FFCCCCCC"/>
      </top>
      <bottom style="thin">
        <color indexed="64"/>
      </bottom>
      <diagonal/>
    </border>
    <border>
      <left/>
      <right/>
      <top/>
      <bottom style="thin">
        <color rgb="FFCCCCC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15" fillId="0" borderId="0" applyFont="0" applyFill="0" applyBorder="0" applyAlignment="0" applyProtection="0"/>
  </cellStyleXfs>
  <cellXfs count="81">
    <xf numFmtId="0" fontId="0" fillId="0" borderId="0" xfId="0"/>
    <xf numFmtId="0" fontId="5" fillId="6"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7"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11" fillId="8" borderId="1" xfId="0" applyFont="1" applyFill="1" applyBorder="1" applyAlignment="1">
      <alignment horizontal="left" vertical="center" wrapText="1"/>
    </xf>
    <xf numFmtId="0" fontId="12"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17" fillId="8" borderId="1" xfId="0" applyFont="1" applyFill="1" applyBorder="1" applyAlignment="1">
      <alignment horizontal="left" vertical="center" wrapText="1"/>
    </xf>
    <xf numFmtId="0" fontId="4" fillId="0" borderId="3" xfId="0" applyFont="1" applyBorder="1" applyAlignment="1">
      <alignment horizontal="left" vertical="center" wrapText="1"/>
    </xf>
    <xf numFmtId="0" fontId="16" fillId="12" borderId="2" xfId="0" applyFont="1"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18" fillId="10" borderId="2" xfId="0" applyFont="1" applyFill="1" applyBorder="1" applyAlignment="1">
      <alignment horizontal="center" vertical="center" wrapText="1"/>
    </xf>
    <xf numFmtId="0" fontId="0" fillId="10" borderId="4" xfId="0" applyFill="1" applyBorder="1" applyAlignment="1">
      <alignment horizontal="center" vertical="center"/>
    </xf>
    <xf numFmtId="0" fontId="0" fillId="10" borderId="5" xfId="0" applyFill="1" applyBorder="1" applyAlignment="1">
      <alignment horizontal="center" vertical="center"/>
    </xf>
    <xf numFmtId="0" fontId="0" fillId="11" borderId="4" xfId="0" applyFill="1" applyBorder="1" applyAlignment="1">
      <alignment horizontal="center" vertical="center"/>
    </xf>
    <xf numFmtId="0" fontId="0" fillId="11" borderId="5"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18" fillId="5" borderId="1" xfId="0" applyFont="1" applyFill="1" applyBorder="1" applyAlignment="1">
      <alignment horizontal="center" vertical="center" wrapText="1"/>
    </xf>
    <xf numFmtId="0" fontId="6" fillId="0" borderId="6" xfId="0" applyFont="1" applyBorder="1" applyAlignment="1">
      <alignment horizontal="left" vertical="center" wrapText="1"/>
    </xf>
    <xf numFmtId="0" fontId="12" fillId="0" borderId="7" xfId="0" applyFont="1" applyBorder="1" applyAlignment="1">
      <alignment horizontal="left" vertical="center" wrapText="1"/>
    </xf>
    <xf numFmtId="0" fontId="17" fillId="8" borderId="3" xfId="0" applyFont="1" applyFill="1" applyBorder="1" applyAlignment="1">
      <alignment horizontal="left" vertical="center" wrapText="1"/>
    </xf>
    <xf numFmtId="0" fontId="17" fillId="8" borderId="9" xfId="0" applyFont="1" applyFill="1" applyBorder="1" applyAlignment="1">
      <alignment horizontal="left" vertical="center" wrapText="1"/>
    </xf>
    <xf numFmtId="0" fontId="17" fillId="8" borderId="10" xfId="0" applyFont="1" applyFill="1" applyBorder="1" applyAlignment="1">
      <alignment horizontal="left" vertical="center" wrapText="1"/>
    </xf>
    <xf numFmtId="0" fontId="17" fillId="8" borderId="8" xfId="0" applyFont="1" applyFill="1" applyBorder="1" applyAlignment="1">
      <alignment horizontal="left" vertical="center" wrapText="1"/>
    </xf>
    <xf numFmtId="0" fontId="19" fillId="4"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165" fontId="4" fillId="5" borderId="1" xfId="0" applyNumberFormat="1" applyFont="1" applyFill="1" applyBorder="1" applyAlignment="1">
      <alignment horizontal="center" vertical="center" wrapText="1"/>
    </xf>
    <xf numFmtId="165" fontId="4" fillId="13" borderId="1" xfId="0" applyNumberFormat="1" applyFont="1" applyFill="1" applyBorder="1" applyAlignment="1">
      <alignment horizontal="center" vertical="center" wrapText="1"/>
    </xf>
    <xf numFmtId="165" fontId="11" fillId="8" borderId="1" xfId="1"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165" fontId="0" fillId="0" borderId="0" xfId="0" applyNumberFormat="1"/>
    <xf numFmtId="0" fontId="0" fillId="0" borderId="2" xfId="0" applyBorder="1"/>
    <xf numFmtId="0" fontId="0" fillId="14" borderId="2" xfId="0" applyFill="1" applyBorder="1"/>
    <xf numFmtId="0" fontId="22" fillId="16" borderId="13" xfId="0" applyFont="1" applyFill="1" applyBorder="1" applyAlignment="1">
      <alignment vertical="center"/>
    </xf>
    <xf numFmtId="0" fontId="22" fillId="16" borderId="14" xfId="0" applyFont="1" applyFill="1" applyBorder="1" applyAlignment="1">
      <alignment vertical="center"/>
    </xf>
    <xf numFmtId="0" fontId="22" fillId="16" borderId="16" xfId="0" applyFont="1" applyFill="1" applyBorder="1" applyAlignment="1">
      <alignment vertical="center"/>
    </xf>
    <xf numFmtId="0" fontId="22" fillId="16" borderId="17" xfId="0" applyFont="1" applyFill="1" applyBorder="1" applyAlignment="1">
      <alignment vertical="center"/>
    </xf>
    <xf numFmtId="165" fontId="23" fillId="8" borderId="1" xfId="1" applyNumberFormat="1" applyFont="1" applyFill="1" applyBorder="1" applyAlignment="1">
      <alignment horizontal="center" vertical="center" wrapText="1"/>
    </xf>
    <xf numFmtId="0" fontId="23" fillId="8"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0" fillId="14" borderId="2" xfId="0" applyFill="1" applyBorder="1" applyAlignment="1">
      <alignment horizontal="center" vertical="center"/>
    </xf>
    <xf numFmtId="0" fontId="0" fillId="17" borderId="2" xfId="0" applyFill="1" applyBorder="1" applyAlignment="1">
      <alignment vertical="center"/>
    </xf>
    <xf numFmtId="0" fontId="0" fillId="17" borderId="2" xfId="0" applyFill="1" applyBorder="1" applyAlignment="1">
      <alignment horizontal="right" vertical="center"/>
    </xf>
    <xf numFmtId="0" fontId="0" fillId="18" borderId="2" xfId="0" applyFill="1" applyBorder="1" applyAlignment="1">
      <alignment vertical="center"/>
    </xf>
    <xf numFmtId="0" fontId="0" fillId="18" borderId="2" xfId="0" applyFill="1" applyBorder="1" applyAlignment="1">
      <alignment horizontal="right" vertical="center"/>
    </xf>
    <xf numFmtId="0" fontId="0" fillId="0" borderId="0" xfId="0" applyAlignment="1">
      <alignment vertical="center"/>
    </xf>
    <xf numFmtId="0" fontId="1" fillId="2" borderId="0" xfId="0" applyFont="1" applyFill="1" applyAlignment="1">
      <alignment horizontal="center" vertical="center" wrapText="1"/>
    </xf>
    <xf numFmtId="0" fontId="0" fillId="0" borderId="0" xfId="0"/>
    <xf numFmtId="0" fontId="4" fillId="5" borderId="0" xfId="0" applyFont="1" applyFill="1" applyAlignment="1">
      <alignment horizontal="left" vertical="center" wrapText="1"/>
    </xf>
    <xf numFmtId="0" fontId="4" fillId="6" borderId="0" xfId="0" applyFont="1" applyFill="1" applyAlignment="1">
      <alignment horizontal="left"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0" fillId="15" borderId="2" xfId="0" applyFill="1" applyBorder="1" applyAlignment="1">
      <alignment horizontal="center"/>
    </xf>
    <xf numFmtId="0" fontId="9" fillId="2" borderId="0" xfId="0" applyFont="1" applyFill="1" applyAlignment="1">
      <alignment horizontal="center" vertical="center" wrapText="1"/>
    </xf>
    <xf numFmtId="0" fontId="20" fillId="3" borderId="11" xfId="0" applyFont="1" applyFill="1" applyBorder="1" applyAlignment="1">
      <alignment horizontal="left" vertical="center" wrapText="1"/>
    </xf>
    <xf numFmtId="0" fontId="10" fillId="6" borderId="0" xfId="0" applyFont="1" applyFill="1" applyAlignment="1">
      <alignment horizontal="left" vertical="center" wrapText="1"/>
    </xf>
    <xf numFmtId="0" fontId="13" fillId="8" borderId="0" xfId="0" applyFont="1" applyFill="1" applyAlignment="1">
      <alignment horizontal="left" vertical="top" wrapText="1"/>
    </xf>
    <xf numFmtId="0" fontId="0" fillId="0" borderId="0" xfId="0" applyAlignment="1">
      <alignment wrapText="1"/>
    </xf>
    <xf numFmtId="0" fontId="6"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19" fillId="4" borderId="0" xfId="0" applyFont="1" applyFill="1" applyAlignment="1">
      <alignment horizontal="left" vertical="center" wrapText="1"/>
    </xf>
    <xf numFmtId="0" fontId="21" fillId="16" borderId="12" xfId="0" applyFont="1" applyFill="1" applyBorder="1" applyAlignment="1">
      <alignment horizontal="center" vertical="center"/>
    </xf>
    <xf numFmtId="0" fontId="21" fillId="16" borderId="13" xfId="0" applyFont="1" applyFill="1" applyBorder="1" applyAlignment="1">
      <alignment horizontal="center" vertical="center"/>
    </xf>
    <xf numFmtId="0" fontId="21" fillId="16" borderId="15" xfId="0" applyFont="1" applyFill="1" applyBorder="1" applyAlignment="1">
      <alignment horizontal="center" vertical="center"/>
    </xf>
    <xf numFmtId="0" fontId="21" fillId="16" borderId="16" xfId="0" applyFont="1" applyFill="1" applyBorder="1" applyAlignment="1">
      <alignment horizontal="center" vertical="center"/>
    </xf>
    <xf numFmtId="0" fontId="0" fillId="15" borderId="18" xfId="0" applyFill="1" applyBorder="1" applyAlignment="1">
      <alignment horizontal="center" vertical="center"/>
    </xf>
    <xf numFmtId="0" fontId="0" fillId="15" borderId="19" xfId="0" applyFill="1" applyBorder="1" applyAlignment="1">
      <alignment horizontal="center" vertical="center"/>
    </xf>
    <xf numFmtId="0" fontId="0" fillId="8" borderId="1" xfId="0" applyFill="1" applyBorder="1" applyAlignment="1">
      <alignment horizontal="left" vertical="center" wrapText="1"/>
    </xf>
  </cellXfs>
  <cellStyles count="2">
    <cellStyle name="Currency" xfId="1" builtinId="4"/>
    <cellStyle name="Normal" xfId="0" builtinId="0"/>
  </cellStyles>
  <dxfs count="4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B9E00"/>
      </font>
      <fill>
        <patternFill>
          <bgColor rgb="FF00B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s>
  <tableStyles count="0" defaultTableStyle="TableStyleMedium9" defaultPivotStyle="PivotStyleLight16"/>
  <colors>
    <mruColors>
      <color rgb="FF1960FF"/>
      <color rgb="FF0036B0"/>
      <color rgb="FF9FBDFF"/>
      <color rgb="FF5D8FFF"/>
      <color rgb="FFD1E8FF"/>
      <color rgb="FF0B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pivotCacheDefinition" Target="pivotCache/pivotCacheDefinition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eetMetadata" Target="metadata.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1.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[Month2_Week8_Final_Project (1).xlsx]Sheet1!PivotTable1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"$"#,##0.00</c:formatCode>
                <c:ptCount val="12"/>
                <c:pt idx="0">
                  <c:v>5310</c:v>
                </c:pt>
                <c:pt idx="1">
                  <c:v>6263</c:v>
                </c:pt>
                <c:pt idx="2">
                  <c:v>3367</c:v>
                </c:pt>
                <c:pt idx="3">
                  <c:v>7296</c:v>
                </c:pt>
                <c:pt idx="4">
                  <c:v>1822</c:v>
                </c:pt>
                <c:pt idx="5">
                  <c:v>7242</c:v>
                </c:pt>
                <c:pt idx="6">
                  <c:v>2487</c:v>
                </c:pt>
                <c:pt idx="7">
                  <c:v>7334</c:v>
                </c:pt>
                <c:pt idx="8">
                  <c:v>3087</c:v>
                </c:pt>
                <c:pt idx="9">
                  <c:v>5884</c:v>
                </c:pt>
                <c:pt idx="10">
                  <c:v>4028</c:v>
                </c:pt>
                <c:pt idx="11">
                  <c:v>6279</c:v>
                </c:pt>
              </c:numCache>
            </c:numRef>
          </c:val>
          <c:smooth val="0"/>
          <c:extLst>
            <c:ext xmlns:c16="http://schemas.microsoft.com/office/drawing/2014/chart" uri="{C3380CC4-5D6E-409C-BE32-E72D297353CC}">
              <c16:uniqueId val="{00000000-1D6C-41CA-939E-B1DE0B3EA0D6}"/>
            </c:ext>
          </c:extLst>
        </c:ser>
        <c:dLbls>
          <c:showLegendKey val="0"/>
          <c:showVal val="0"/>
          <c:showCatName val="0"/>
          <c:showSerName val="0"/>
          <c:showPercent val="0"/>
          <c:showBubbleSize val="0"/>
        </c:dLbls>
        <c:smooth val="0"/>
        <c:axId val="1112984528"/>
        <c:axId val="100379328"/>
      </c:lineChart>
      <c:catAx>
        <c:axId val="111298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79328"/>
        <c:crosses val="autoZero"/>
        <c:auto val="1"/>
        <c:lblAlgn val="ctr"/>
        <c:lblOffset val="100"/>
        <c:noMultiLvlLbl val="0"/>
      </c:catAx>
      <c:valAx>
        <c:axId val="100379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98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163"/>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Sheet1!$D$11</c:f>
              <c:strCache>
                <c:ptCount val="1"/>
                <c:pt idx="0">
                  <c:v>Sum of Revenue</c:v>
                </c:pt>
              </c:strCache>
            </c:strRef>
          </c:tx>
          <c:explosion val="8"/>
          <c:dPt>
            <c:idx val="0"/>
            <c:bubble3D val="0"/>
            <c:spPr>
              <a:solidFill>
                <a:srgbClr val="D1E8FF"/>
              </a:solidFill>
              <a:ln w="44450">
                <a:solidFill>
                  <a:srgbClr val="D1E8FF"/>
                </a:solidFill>
              </a:ln>
              <a:effectLst/>
              <a:sp3d contourW="44450">
                <a:contourClr>
                  <a:srgbClr val="D1E8FF"/>
                </a:contourClr>
              </a:sp3d>
            </c:spPr>
            <c:extLst>
              <c:ext xmlns:c16="http://schemas.microsoft.com/office/drawing/2014/chart" uri="{C3380CC4-5D6E-409C-BE32-E72D297353CC}">
                <c16:uniqueId val="{00000001-42FE-45C9-A1FF-BD5182C71810}"/>
              </c:ext>
            </c:extLst>
          </c:dPt>
          <c:dPt>
            <c:idx val="1"/>
            <c:bubble3D val="0"/>
            <c:spPr>
              <a:solidFill>
                <a:srgbClr val="9FBDFF"/>
              </a:solidFill>
              <a:ln w="25400">
                <a:solidFill>
                  <a:srgbClr val="9FBDFF"/>
                </a:solidFill>
              </a:ln>
              <a:effectLst/>
              <a:sp3d contourW="25400">
                <a:contourClr>
                  <a:srgbClr val="9FBDFF"/>
                </a:contourClr>
              </a:sp3d>
            </c:spPr>
            <c:extLst>
              <c:ext xmlns:c16="http://schemas.microsoft.com/office/drawing/2014/chart" uri="{C3380CC4-5D6E-409C-BE32-E72D297353CC}">
                <c16:uniqueId val="{00000005-42FE-45C9-A1FF-BD5182C71810}"/>
              </c:ext>
            </c:extLst>
          </c:dPt>
          <c:dPt>
            <c:idx val="2"/>
            <c:bubble3D val="0"/>
            <c:spPr>
              <a:solidFill>
                <a:srgbClr val="5D8FFF"/>
              </a:solidFill>
              <a:ln w="25400">
                <a:solidFill>
                  <a:srgbClr val="5D8FFF"/>
                </a:solidFill>
              </a:ln>
              <a:effectLst/>
              <a:sp3d contourW="25400">
                <a:contourClr>
                  <a:srgbClr val="5D8FFF"/>
                </a:contourClr>
              </a:sp3d>
            </c:spPr>
            <c:extLst>
              <c:ext xmlns:c16="http://schemas.microsoft.com/office/drawing/2014/chart" uri="{C3380CC4-5D6E-409C-BE32-E72D297353CC}">
                <c16:uniqueId val="{00000004-42FE-45C9-A1FF-BD5182C71810}"/>
              </c:ext>
            </c:extLst>
          </c:dPt>
          <c:dPt>
            <c:idx val="3"/>
            <c:bubble3D val="0"/>
            <c:spPr>
              <a:solidFill>
                <a:srgbClr val="1960FF"/>
              </a:solidFill>
              <a:ln w="25400">
                <a:solidFill>
                  <a:srgbClr val="1960FF"/>
                </a:solidFill>
              </a:ln>
              <a:effectLst/>
              <a:sp3d contourW="25400">
                <a:contourClr>
                  <a:srgbClr val="1960FF"/>
                </a:contourClr>
              </a:sp3d>
            </c:spPr>
            <c:extLst>
              <c:ext xmlns:c16="http://schemas.microsoft.com/office/drawing/2014/chart" uri="{C3380CC4-5D6E-409C-BE32-E72D297353CC}">
                <c16:uniqueId val="{00000003-42FE-45C9-A1FF-BD5182C71810}"/>
              </c:ext>
            </c:extLst>
          </c:dPt>
          <c:dPt>
            <c:idx val="4"/>
            <c:bubble3D val="0"/>
            <c:spPr>
              <a:solidFill>
                <a:srgbClr val="0036B0"/>
              </a:solidFill>
              <a:ln w="25400">
                <a:solidFill>
                  <a:srgbClr val="0036B0"/>
                </a:solidFill>
              </a:ln>
              <a:effectLst/>
              <a:sp3d contourW="25400">
                <a:contourClr>
                  <a:srgbClr val="0036B0"/>
                </a:contourClr>
              </a:sp3d>
            </c:spPr>
            <c:extLst>
              <c:ext xmlns:c16="http://schemas.microsoft.com/office/drawing/2014/chart" uri="{C3380CC4-5D6E-409C-BE32-E72D297353CC}">
                <c16:uniqueId val="{00000002-42FE-45C9-A1FF-BD5182C71810}"/>
              </c:ext>
            </c:extLst>
          </c:dPt>
          <c:dLbls>
            <c:dLbl>
              <c:idx val="0"/>
              <c:layout>
                <c:manualLayout>
                  <c:x val="-2.567311898512686E-2"/>
                  <c:y val="-0.1021719160104986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FE-45C9-A1FF-BD5182C71810}"/>
                </c:ext>
              </c:extLst>
            </c:dLbl>
            <c:dLbl>
              <c:idx val="1"/>
              <c:layout>
                <c:manualLayout>
                  <c:x val="2.6933508311461067E-2"/>
                  <c:y val="-2.24825021872265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FE-45C9-A1FF-BD5182C71810}"/>
                </c:ext>
              </c:extLst>
            </c:dLbl>
            <c:dLbl>
              <c:idx val="2"/>
              <c:layout>
                <c:manualLayout>
                  <c:x val="-6.9854549431321083E-3"/>
                  <c:y val="-3.9393044619422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FE-45C9-A1FF-BD5182C71810}"/>
                </c:ext>
              </c:extLst>
            </c:dLbl>
            <c:dLbl>
              <c:idx val="3"/>
              <c:layout>
                <c:manualLayout>
                  <c:x val="1.7414479440069991E-2"/>
                  <c:y val="-7.97889326334208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FE-45C9-A1FF-BD5182C71810}"/>
                </c:ext>
              </c:extLst>
            </c:dLbl>
            <c:dLbl>
              <c:idx val="4"/>
              <c:layout>
                <c:manualLayout>
                  <c:x val="9.0166119860017505E-2"/>
                  <c:y val="9.89468503937007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FE-45C9-A1FF-BD5182C718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Sheet1!$C$12:$C$16</c:f>
              <c:strCache>
                <c:ptCount val="5"/>
                <c:pt idx="0">
                  <c:v>Electronics</c:v>
                </c:pt>
                <c:pt idx="1">
                  <c:v>Home Appliances</c:v>
                </c:pt>
                <c:pt idx="2">
                  <c:v>Beauty</c:v>
                </c:pt>
                <c:pt idx="3">
                  <c:v>Clothing</c:v>
                </c:pt>
                <c:pt idx="4">
                  <c:v>Sports</c:v>
                </c:pt>
              </c:strCache>
            </c:strRef>
          </c:cat>
          <c:val>
            <c:numRef>
              <c:f>Sheet1!$D$12:$D$16</c:f>
              <c:numCache>
                <c:formatCode>General</c:formatCode>
                <c:ptCount val="5"/>
                <c:pt idx="0">
                  <c:v>25045</c:v>
                </c:pt>
                <c:pt idx="1">
                  <c:v>12268</c:v>
                </c:pt>
                <c:pt idx="2">
                  <c:v>9344</c:v>
                </c:pt>
                <c:pt idx="3">
                  <c:v>7955</c:v>
                </c:pt>
                <c:pt idx="4">
                  <c:v>5787</c:v>
                </c:pt>
              </c:numCache>
            </c:numRef>
          </c:val>
          <c:extLst>
            <c:ext xmlns:c16="http://schemas.microsoft.com/office/drawing/2014/chart" uri="{C3380CC4-5D6E-409C-BE32-E72D297353CC}">
              <c16:uniqueId val="{00000000-42FE-45C9-A1FF-BD5182C7181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[Month2_Week8_Final_Project (1).xlsx]Sheet1!PivotTable9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Rate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Sheet1!$J$28:$J$33</c:f>
              <c:strCache>
                <c:ptCount val="5"/>
                <c:pt idx="0">
                  <c:v>Clothing</c:v>
                </c:pt>
                <c:pt idx="1">
                  <c:v>Beauty</c:v>
                </c:pt>
                <c:pt idx="2">
                  <c:v>Sports</c:v>
                </c:pt>
                <c:pt idx="3">
                  <c:v>Home Appliances</c:v>
                </c:pt>
                <c:pt idx="4">
                  <c:v>Electronics</c:v>
                </c:pt>
              </c:strCache>
            </c:strRef>
          </c:cat>
          <c:val>
            <c:numRef>
              <c:f>Sheet1!$K$28:$K$33</c:f>
              <c:numCache>
                <c:formatCode>General</c:formatCode>
                <c:ptCount val="5"/>
                <c:pt idx="0">
                  <c:v>16</c:v>
                </c:pt>
                <c:pt idx="1">
                  <c:v>16</c:v>
                </c:pt>
                <c:pt idx="2">
                  <c:v>16</c:v>
                </c:pt>
                <c:pt idx="3">
                  <c:v>16</c:v>
                </c:pt>
                <c:pt idx="4">
                  <c:v>32</c:v>
                </c:pt>
              </c:numCache>
            </c:numRef>
          </c:val>
          <c:extLst>
            <c:ext xmlns:c16="http://schemas.microsoft.com/office/drawing/2014/chart" uri="{C3380CC4-5D6E-409C-BE32-E72D297353CC}">
              <c16:uniqueId val="{00000000-543D-4DE9-8819-178BE888F835}"/>
            </c:ext>
          </c:extLst>
        </c:ser>
        <c:dLbls>
          <c:dLblPos val="outEnd"/>
          <c:showLegendKey val="0"/>
          <c:showVal val="1"/>
          <c:showCatName val="0"/>
          <c:showSerName val="0"/>
          <c:showPercent val="0"/>
          <c:showBubbleSize val="0"/>
        </c:dLbls>
        <c:gapWidth val="182"/>
        <c:axId val="209220016"/>
        <c:axId val="100384128"/>
      </c:barChart>
      <c:catAx>
        <c:axId val="20922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4128"/>
        <c:crosses val="autoZero"/>
        <c:auto val="1"/>
        <c:lblAlgn val="ctr"/>
        <c:lblOffset val="100"/>
        <c:noMultiLvlLbl val="0"/>
      </c:catAx>
      <c:valAx>
        <c:axId val="10038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1.6768559259472255E-2"/>
          <c:w val="0.98146758794554811"/>
          <c:h val="0.96005673259211932"/>
        </c:manualLayout>
      </c:layout>
      <c:barChart>
        <c:barDir val="bar"/>
        <c:grouping val="clustered"/>
        <c:varyColors val="0"/>
        <c:ser>
          <c:idx val="0"/>
          <c:order val="0"/>
          <c:tx>
            <c:strRef>
              <c:f>Dashboard!$I$10</c:f>
              <c:strCache>
                <c:ptCount val="1"/>
              </c:strCache>
            </c:strRef>
          </c:tx>
          <c:spPr>
            <a:solidFill>
              <a:schemeClr val="accent1">
                <a:alpha val="85000"/>
              </a:schemeClr>
            </a:solidFill>
            <a:ln w="9525" cap="flat" cmpd="sng" algn="ctr">
              <a:solidFill>
                <a:schemeClr val="lt1">
                  <a:alpha val="50000"/>
                </a:schemeClr>
              </a:solidFill>
              <a:round/>
            </a:ln>
            <a:effectLst/>
          </c:spPr>
          <c:invertIfNegative val="0"/>
          <c:cat>
            <c:numRef>
              <c:f>Dashboard!$H$11:$H$25</c:f>
              <c:numCache>
                <c:formatCode>General</c:formatCode>
                <c:ptCount val="15"/>
              </c:numCache>
            </c:numRef>
          </c:cat>
          <c:val>
            <c:numRef>
              <c:f>Dashboard!$I$11:$I$25</c:f>
              <c:numCache>
                <c:formatCode>General</c:formatCode>
                <c:ptCount val="15"/>
              </c:numCache>
            </c:numRef>
          </c:val>
          <c:extLst>
            <c:ext xmlns:c16="http://schemas.microsoft.com/office/drawing/2014/chart" uri="{C3380CC4-5D6E-409C-BE32-E72D297353CC}">
              <c16:uniqueId val="{00000000-FA3E-47FD-8DBC-0D201ED4FF88}"/>
            </c:ext>
          </c:extLst>
        </c:ser>
        <c:dLbls>
          <c:showLegendKey val="0"/>
          <c:showVal val="0"/>
          <c:showCatName val="0"/>
          <c:showSerName val="0"/>
          <c:showPercent val="0"/>
          <c:showBubbleSize val="0"/>
        </c:dLbls>
        <c:gapWidth val="65"/>
        <c:axId val="935807088"/>
        <c:axId val="907304448"/>
      </c:barChart>
      <c:catAx>
        <c:axId val="935807088"/>
        <c:scaling>
          <c:orientation val="minMax"/>
        </c:scaling>
        <c:delete val="1"/>
        <c:axPos val="l"/>
        <c:numFmt formatCode="General" sourceLinked="1"/>
        <c:majorTickMark val="none"/>
        <c:minorTickMark val="none"/>
        <c:tickLblPos val="nextTo"/>
        <c:crossAx val="907304448"/>
        <c:crosses val="autoZero"/>
        <c:auto val="1"/>
        <c:lblAlgn val="ctr"/>
        <c:lblOffset val="100"/>
        <c:noMultiLvlLbl val="0"/>
      </c:catAx>
      <c:valAx>
        <c:axId val="907304448"/>
        <c:scaling>
          <c:orientation val="minMax"/>
        </c:scaling>
        <c:delete val="1"/>
        <c:axPos val="b"/>
        <c:numFmt formatCode="General" sourceLinked="1"/>
        <c:majorTickMark val="none"/>
        <c:minorTickMark val="none"/>
        <c:tickLblPos val="nextTo"/>
        <c:crossAx val="9358070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6847647322228966E-2"/>
          <c:y val="0"/>
          <c:w val="0.98146758794554811"/>
          <c:h val="0.96005673259211932"/>
        </c:manualLayout>
      </c:layout>
      <c:barChart>
        <c:barDir val="bar"/>
        <c:grouping val="clustered"/>
        <c:varyColors val="0"/>
        <c:ser>
          <c:idx val="0"/>
          <c:order val="0"/>
          <c:tx>
            <c:strRef>
              <c:f>Dashboard!$I$10</c:f>
              <c:strCache>
                <c:ptCount val="1"/>
              </c:strCache>
            </c:strRef>
          </c:tx>
          <c:spPr>
            <a:solidFill>
              <a:schemeClr val="accent1">
                <a:alpha val="85000"/>
              </a:schemeClr>
            </a:solidFill>
            <a:ln w="9525" cap="flat" cmpd="sng" algn="ctr">
              <a:solidFill>
                <a:schemeClr val="lt1">
                  <a:alpha val="50000"/>
                </a:schemeClr>
              </a:solidFill>
              <a:round/>
            </a:ln>
            <a:effectLst/>
          </c:spPr>
          <c:invertIfNegative val="0"/>
          <c:cat>
            <c:numRef>
              <c:f>Dashboard!$H$11:$H$25</c:f>
              <c:numCache>
                <c:formatCode>General</c:formatCode>
                <c:ptCount val="15"/>
              </c:numCache>
            </c:numRef>
          </c:cat>
          <c:val>
            <c:numRef>
              <c:f>Dashboard!$I$11:$I$25</c:f>
              <c:numCache>
                <c:formatCode>General</c:formatCode>
                <c:ptCount val="15"/>
              </c:numCache>
            </c:numRef>
          </c:val>
          <c:extLst>
            <c:ext xmlns:c16="http://schemas.microsoft.com/office/drawing/2014/chart" uri="{C3380CC4-5D6E-409C-BE32-E72D297353CC}">
              <c16:uniqueId val="{00000000-FA3E-47FD-8DBC-0D201ED4FF88}"/>
            </c:ext>
          </c:extLst>
        </c:ser>
        <c:dLbls>
          <c:showLegendKey val="0"/>
          <c:showVal val="0"/>
          <c:showCatName val="0"/>
          <c:showSerName val="0"/>
          <c:showPercent val="0"/>
          <c:showBubbleSize val="0"/>
        </c:dLbls>
        <c:gapWidth val="65"/>
        <c:axId val="935807088"/>
        <c:axId val="907304448"/>
      </c:barChart>
      <c:catAx>
        <c:axId val="935807088"/>
        <c:scaling>
          <c:orientation val="minMax"/>
        </c:scaling>
        <c:delete val="1"/>
        <c:axPos val="l"/>
        <c:numFmt formatCode="General" sourceLinked="1"/>
        <c:majorTickMark val="none"/>
        <c:minorTickMark val="none"/>
        <c:tickLblPos val="nextTo"/>
        <c:crossAx val="907304448"/>
        <c:crosses val="autoZero"/>
        <c:auto val="1"/>
        <c:lblAlgn val="ctr"/>
        <c:lblOffset val="100"/>
        <c:noMultiLvlLbl val="0"/>
      </c:catAx>
      <c:valAx>
        <c:axId val="907304448"/>
        <c:scaling>
          <c:orientation val="minMax"/>
        </c:scaling>
        <c:delete val="1"/>
        <c:axPos val="b"/>
        <c:numFmt formatCode="General" sourceLinked="1"/>
        <c:majorTickMark val="none"/>
        <c:minorTickMark val="none"/>
        <c:tickLblPos val="nextTo"/>
        <c:crossAx val="9358070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[Month2_Week8_Final_Project (1).xlsx]Executive Dashboard!PivotTable4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
        <c:idx val="18"/>
        <c:spPr>
          <a:noFill/>
          <a:ln w="9525" cap="flat" cmpd="sng" algn="ctr">
            <a:solidFill>
              <a:schemeClr val="accent1"/>
            </a:solidFill>
            <a:miter lim="800000"/>
          </a:ln>
          <a:effectLst>
            <a:glow rad="63500">
              <a:schemeClr val="accent1">
                <a:satMod val="175000"/>
                <a:alpha val="25000"/>
              </a:schemeClr>
            </a:glow>
          </a:effectLst>
        </c:spPr>
      </c:pivotFmt>
      <c:pivotFmt>
        <c:idx val="19"/>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'Executive Dashboard'!$K$5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1-6196-4E0D-ADD1-81D10A839B3D}"/>
              </c:ext>
            </c:extLst>
          </c:dPt>
          <c:dPt>
            <c:idx val="1"/>
            <c:invertIfNegative val="0"/>
            <c:bubble3D val="0"/>
            <c:extLst>
              <c:ext xmlns:c16="http://schemas.microsoft.com/office/drawing/2014/chart" uri="{C3380CC4-5D6E-409C-BE32-E72D297353CC}">
                <c16:uniqueId val="{00000003-6196-4E0D-ADD1-81D10A839B3D}"/>
              </c:ext>
            </c:extLst>
          </c:dPt>
          <c:dPt>
            <c:idx val="2"/>
            <c:invertIfNegative val="0"/>
            <c:bubble3D val="0"/>
            <c:extLst>
              <c:ext xmlns:c16="http://schemas.microsoft.com/office/drawing/2014/chart" uri="{C3380CC4-5D6E-409C-BE32-E72D297353CC}">
                <c16:uniqueId val="{00000005-6196-4E0D-ADD1-81D10A839B3D}"/>
              </c:ext>
            </c:extLst>
          </c:dPt>
          <c:dPt>
            <c:idx val="3"/>
            <c:invertIfNegative val="0"/>
            <c:bubble3D val="0"/>
            <c:extLst>
              <c:ext xmlns:c16="http://schemas.microsoft.com/office/drawing/2014/chart" uri="{C3380CC4-5D6E-409C-BE32-E72D297353CC}">
                <c16:uniqueId val="{00000007-6196-4E0D-ADD1-81D10A839B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'Executive Dashboard'!$J$6:$J$10</c:f>
              <c:strCache>
                <c:ptCount val="4"/>
                <c:pt idx="0">
                  <c:v>West</c:v>
                </c:pt>
                <c:pt idx="1">
                  <c:v>South</c:v>
                </c:pt>
                <c:pt idx="2">
                  <c:v>East</c:v>
                </c:pt>
                <c:pt idx="3">
                  <c:v>North</c:v>
                </c:pt>
              </c:strCache>
            </c:strRef>
          </c:cat>
          <c:val>
            <c:numRef>
              <c:f>'Executive Dashboard'!$K$6:$K$10</c:f>
              <c:numCache>
                <c:formatCode>"$"#,##0.00</c:formatCode>
                <c:ptCount val="4"/>
                <c:pt idx="0">
                  <c:v>5787</c:v>
                </c:pt>
                <c:pt idx="1">
                  <c:v>12766</c:v>
                </c:pt>
                <c:pt idx="2">
                  <c:v>16801</c:v>
                </c:pt>
                <c:pt idx="3">
                  <c:v>25045</c:v>
                </c:pt>
              </c:numCache>
            </c:numRef>
          </c:val>
          <c:extLst>
            <c:ext xmlns:c16="http://schemas.microsoft.com/office/drawing/2014/chart" uri="{C3380CC4-5D6E-409C-BE32-E72D297353CC}">
              <c16:uniqueId val="{00000008-6196-4E0D-ADD1-81D10A839B3D}"/>
            </c:ext>
          </c:extLst>
        </c:ser>
        <c:dLbls>
          <c:dLblPos val="outEnd"/>
          <c:showLegendKey val="0"/>
          <c:showVal val="1"/>
          <c:showCatName val="0"/>
          <c:showSerName val="0"/>
          <c:showPercent val="0"/>
          <c:showBubbleSize val="0"/>
        </c:dLbls>
        <c:gapWidth val="182"/>
        <c:overlap val="-50"/>
        <c:axId val="1461910480"/>
        <c:axId val="1671870912"/>
      </c:barChart>
      <c:catAx>
        <c:axId val="14619104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1870912"/>
        <c:crosses val="autoZero"/>
        <c:auto val="1"/>
        <c:lblAlgn val="ctr"/>
        <c:lblOffset val="100"/>
        <c:noMultiLvlLbl val="0"/>
      </c:catAx>
      <c:valAx>
        <c:axId val="167187091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6191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[Month2_Week8_Final_Project (1).xlsx]Sheet1!PivotTable1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7.4215441819772535E-2"/>
              <c:y val="3.9386482939632463E-2"/>
            </c:manualLayout>
          </c:layout>
          <c:tx>
            <c:rich>
              <a:bodyPr/>
              <a:lstStyle/>
              <a:p>
                <a:r>
                  <a:rPr lang="en-US"/>
                  <a:t>$1,822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dLbl>
          <c:idx val="0"/>
          <c:layout>
            <c:manualLayout>
              <c:x val="-7.4215441819772549E-2"/>
              <c:y val="3.4756853310002916E-2"/>
            </c:manualLayout>
          </c:layout>
          <c:tx>
            <c:rich>
              <a:bodyPr/>
              <a:lstStyle/>
              <a:p>
                <a:r>
                  <a:rPr lang="en-US"/>
                  <a:t>$3,367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dLbl>
          <c:idx val="0"/>
          <c:layout>
            <c:manualLayout>
              <c:x val="-7.4215441819772535E-2"/>
              <c:y val="2.5497594050743658E-2"/>
            </c:manualLayout>
          </c:layout>
          <c:tx>
            <c:rich>
              <a:bodyPr/>
              <a:lstStyle/>
              <a:p>
                <a:r>
                  <a:rPr lang="en-US"/>
                  <a:t>$2,487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dLbl>
          <c:idx val="0"/>
          <c:layout>
            <c:manualLayout>
              <c:x val="-7.4215441819772535E-2"/>
              <c:y val="2.0867964421114028E-2"/>
            </c:manualLayout>
          </c:layout>
          <c:tx>
            <c:rich>
              <a:bodyPr/>
              <a:lstStyle/>
              <a:p>
                <a:r>
                  <a:rPr lang="en-US"/>
                  <a:t>$3,087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dLbl>
          <c:idx val="0"/>
          <c:layout>
            <c:manualLayout>
              <c:x val="-6.8659886264217068E-2"/>
              <c:y val="3.9386482939632546E-2"/>
            </c:manualLayout>
          </c:layout>
          <c:tx>
            <c:rich>
              <a:bodyPr/>
              <a:lstStyle/>
              <a:p>
                <a:r>
                  <a:rPr lang="en-US"/>
                  <a:t>$4,028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dLbl>
          <c:idx val="0"/>
          <c:layout>
            <c:manualLayout>
              <c:x val="-7.4215441819772535E-2"/>
              <c:y val="-3.0057961504811857E-2"/>
            </c:manualLayout>
          </c:layout>
          <c:tx>
            <c:rich>
              <a:bodyPr/>
              <a:lstStyle/>
              <a:p>
                <a:r>
                  <a:rPr lang="en-US"/>
                  <a:t>$5,884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dLbl>
          <c:idx val="0"/>
          <c:layout>
            <c:manualLayout>
              <c:x val="-7.4215441819772535E-2"/>
              <c:y val="-3.4687591134441531E-2"/>
            </c:manualLayout>
          </c:layout>
          <c:tx>
            <c:rich>
              <a:bodyPr/>
              <a:lstStyle/>
              <a:p>
                <a:r>
                  <a:rPr lang="en-US"/>
                  <a:t>$7,334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dLbl>
          <c:idx val="0"/>
          <c:tx>
            <c:rich>
              <a:bodyPr/>
              <a:lstStyle/>
              <a:p>
                <a:r>
                  <a:rPr lang="en-US"/>
                  <a:t>$7,296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dLbl>
          <c:idx val="0"/>
          <c:tx>
            <c:rich>
              <a:bodyPr/>
              <a:lstStyle/>
              <a:p>
                <a:r>
                  <a:rPr lang="en-US"/>
                  <a:t>$7,242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dLbl>
          <c:idx val="0"/>
          <c:tx>
            <c:rich>
              <a:bodyPr/>
              <a:lstStyle/>
              <a:p>
                <a:r>
                  <a:rPr lang="en-US"/>
                  <a:t>$6,279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dLbl>
          <c:idx val="0"/>
          <c:layout>
            <c:manualLayout>
              <c:x val="-5.2840332458442697E-2"/>
              <c:y val="-3.0057961504811898E-2"/>
            </c:manualLayout>
          </c:layout>
          <c:tx>
            <c:rich>
              <a:bodyPr/>
              <a:lstStyle/>
              <a:p>
                <a:r>
                  <a:rPr lang="en-US"/>
                  <a:t>$6,263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dLbl>
          <c:idx val="0"/>
          <c:layout>
            <c:manualLayout>
              <c:x val="-5.0062554680664915E-2"/>
              <c:y val="-2.0798702245552639E-2"/>
            </c:manualLayout>
          </c:layout>
          <c:tx>
            <c:rich>
              <a:bodyPr/>
              <a:lstStyle/>
              <a:p>
                <a:r>
                  <a:rPr lang="en-US"/>
                  <a:t>$5,310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0062554680664915E-2"/>
              <c:y val="-2.0798702245552639E-2"/>
            </c:manualLayout>
          </c:layout>
          <c:tx>
            <c:rich>
              <a:bodyPr/>
              <a:lstStyle/>
              <a:p>
                <a:r>
                  <a:rPr lang="en-US"/>
                  <a:t>$5,310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dLbl>
          <c:idx val="0"/>
          <c:layout>
            <c:manualLayout>
              <c:x val="-5.2840332458442697E-2"/>
              <c:y val="-3.0057961504811898E-2"/>
            </c:manualLayout>
          </c:layout>
          <c:tx>
            <c:rich>
              <a:bodyPr/>
              <a:lstStyle/>
              <a:p>
                <a:r>
                  <a:rPr lang="en-US"/>
                  <a:t>$6,263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dLbl>
          <c:idx val="0"/>
          <c:layout>
            <c:manualLayout>
              <c:x val="-7.4215441819772549E-2"/>
              <c:y val="3.4756853310002916E-2"/>
            </c:manualLayout>
          </c:layout>
          <c:tx>
            <c:rich>
              <a:bodyPr/>
              <a:lstStyle/>
              <a:p>
                <a:r>
                  <a:rPr lang="en-US"/>
                  <a:t>$3,367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dLbl>
          <c:idx val="0"/>
          <c:tx>
            <c:rich>
              <a:bodyPr/>
              <a:lstStyle/>
              <a:p>
                <a:r>
                  <a:rPr lang="en-US"/>
                  <a:t>$7,296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dLbl>
          <c:idx val="0"/>
          <c:layout>
            <c:manualLayout>
              <c:x val="-7.4215441819772535E-2"/>
              <c:y val="3.9386482939632463E-2"/>
            </c:manualLayout>
          </c:layout>
          <c:tx>
            <c:rich>
              <a:bodyPr/>
              <a:lstStyle/>
              <a:p>
                <a:r>
                  <a:rPr lang="en-US"/>
                  <a:t>$1,822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dLbl>
          <c:idx val="0"/>
          <c:tx>
            <c:rich>
              <a:bodyPr/>
              <a:lstStyle/>
              <a:p>
                <a:r>
                  <a:rPr lang="en-US"/>
                  <a:t>$7,242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dLbl>
          <c:idx val="0"/>
          <c:layout>
            <c:manualLayout>
              <c:x val="-7.4215441819772535E-2"/>
              <c:y val="2.5497594050743658E-2"/>
            </c:manualLayout>
          </c:layout>
          <c:tx>
            <c:rich>
              <a:bodyPr/>
              <a:lstStyle/>
              <a:p>
                <a:r>
                  <a:rPr lang="en-US"/>
                  <a:t>$2,487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dLbl>
          <c:idx val="0"/>
          <c:layout>
            <c:manualLayout>
              <c:x val="-7.4215441819772535E-2"/>
              <c:y val="-3.4687591134441531E-2"/>
            </c:manualLayout>
          </c:layout>
          <c:tx>
            <c:rich>
              <a:bodyPr/>
              <a:lstStyle/>
              <a:p>
                <a:r>
                  <a:rPr lang="en-US"/>
                  <a:t>$7,334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5"/>
        <c:dLbl>
          <c:idx val="0"/>
          <c:layout>
            <c:manualLayout>
              <c:x val="-7.4215441819772535E-2"/>
              <c:y val="2.0867964421114028E-2"/>
            </c:manualLayout>
          </c:layout>
          <c:tx>
            <c:rich>
              <a:bodyPr/>
              <a:lstStyle/>
              <a:p>
                <a:r>
                  <a:rPr lang="en-US"/>
                  <a:t>$3,087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dLbl>
          <c:idx val="0"/>
          <c:layout>
            <c:manualLayout>
              <c:x val="-7.4215441819772535E-2"/>
              <c:y val="-3.0057961504811857E-2"/>
            </c:manualLayout>
          </c:layout>
          <c:tx>
            <c:rich>
              <a:bodyPr/>
              <a:lstStyle/>
              <a:p>
                <a:r>
                  <a:rPr lang="en-US"/>
                  <a:t>$5,884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7"/>
        <c:dLbl>
          <c:idx val="0"/>
          <c:layout>
            <c:manualLayout>
              <c:x val="-6.8659886264217068E-2"/>
              <c:y val="3.9386482939632546E-2"/>
            </c:manualLayout>
          </c:layout>
          <c:tx>
            <c:rich>
              <a:bodyPr/>
              <a:lstStyle/>
              <a:p>
                <a:r>
                  <a:rPr lang="en-US"/>
                  <a:t>$4,028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dLbl>
          <c:idx val="0"/>
          <c:tx>
            <c:rich>
              <a:bodyPr/>
              <a:lstStyle/>
              <a:p>
                <a:r>
                  <a:rPr lang="en-US"/>
                  <a:t>$6,279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$5,310</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$6,263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$3,367</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$7,296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$1,822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$7,242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$2,487</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$7,334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$3,087</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$5,884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$4,028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r>
                  <a:rPr lang="en-US"/>
                  <a:t>$6,279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lineChart>
        <c:grouping val="standard"/>
        <c:varyColors val="0"/>
        <c:ser>
          <c:idx val="0"/>
          <c:order val="0"/>
          <c:tx>
            <c:strRef>
              <c:f>Sheet1!$B$3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0-066D-4C90-94BF-36191F3C8725}"/>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1-066D-4C90-94BF-36191F3C8725}"/>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2-066D-4C90-94BF-36191F3C8725}"/>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066D-4C90-94BF-36191F3C8725}"/>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4-066D-4C90-94BF-36191F3C8725}"/>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5-066D-4C90-94BF-36191F3C8725}"/>
              </c:ext>
            </c:extLst>
          </c:dPt>
          <c:dPt>
            <c:idx val="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6-066D-4C90-94BF-36191F3C8725}"/>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7-066D-4C90-94BF-36191F3C8725}"/>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8-066D-4C90-94BF-36191F3C8725}"/>
              </c:ext>
            </c:extLst>
          </c:dPt>
          <c:dPt>
            <c:idx val="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9-066D-4C90-94BF-36191F3C8725}"/>
              </c:ext>
            </c:extLst>
          </c:dPt>
          <c:dPt>
            <c:idx val="1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A-066D-4C90-94BF-36191F3C8725}"/>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B-066D-4C90-94BF-36191F3C8725}"/>
              </c:ext>
            </c:extLst>
          </c:dPt>
          <c:dLbls>
            <c:dLbl>
              <c:idx val="0"/>
              <c:tx>
                <c:rich>
                  <a:bodyPr/>
                  <a:lstStyle/>
                  <a:p>
                    <a:r>
                      <a:rPr lang="en-US"/>
                      <a:t>$5,310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66D-4C90-94BF-36191F3C8725}"/>
                </c:ext>
              </c:extLst>
            </c:dLbl>
            <c:dLbl>
              <c:idx val="1"/>
              <c:tx>
                <c:rich>
                  <a:bodyPr/>
                  <a:lstStyle/>
                  <a:p>
                    <a:r>
                      <a:rPr lang="en-US"/>
                      <a:t>$6,263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66D-4C90-94BF-36191F3C8725}"/>
                </c:ext>
              </c:extLst>
            </c:dLbl>
            <c:dLbl>
              <c:idx val="2"/>
              <c:tx>
                <c:rich>
                  <a:bodyPr/>
                  <a:lstStyle/>
                  <a:p>
                    <a:r>
                      <a:rPr lang="en-US"/>
                      <a:t>$3,367</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66D-4C90-94BF-36191F3C8725}"/>
                </c:ext>
              </c:extLst>
            </c:dLbl>
            <c:dLbl>
              <c:idx val="3"/>
              <c:tx>
                <c:rich>
                  <a:bodyPr/>
                  <a:lstStyle/>
                  <a:p>
                    <a:r>
                      <a:rPr lang="en-US"/>
                      <a:t>$7,296</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66D-4C90-94BF-36191F3C8725}"/>
                </c:ext>
              </c:extLst>
            </c:dLbl>
            <c:dLbl>
              <c:idx val="4"/>
              <c:tx>
                <c:rich>
                  <a:bodyPr/>
                  <a:lstStyle/>
                  <a:p>
                    <a:r>
                      <a:rPr lang="en-US"/>
                      <a:t>$1,822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66D-4C90-94BF-36191F3C8725}"/>
                </c:ext>
              </c:extLst>
            </c:dLbl>
            <c:dLbl>
              <c:idx val="5"/>
              <c:tx>
                <c:rich>
                  <a:bodyPr/>
                  <a:lstStyle/>
                  <a:p>
                    <a:r>
                      <a:rPr lang="en-US"/>
                      <a:t>$7,242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66D-4C90-94BF-36191F3C8725}"/>
                </c:ext>
              </c:extLst>
            </c:dLbl>
            <c:dLbl>
              <c:idx val="6"/>
              <c:tx>
                <c:rich>
                  <a:bodyPr/>
                  <a:lstStyle/>
                  <a:p>
                    <a:r>
                      <a:rPr lang="en-US"/>
                      <a:t>$2,487</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66D-4C90-94BF-36191F3C8725}"/>
                </c:ext>
              </c:extLst>
            </c:dLbl>
            <c:dLbl>
              <c:idx val="7"/>
              <c:tx>
                <c:rich>
                  <a:bodyPr/>
                  <a:lstStyle/>
                  <a:p>
                    <a:r>
                      <a:rPr lang="en-US"/>
                      <a:t>$7,334</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66D-4C90-94BF-36191F3C8725}"/>
                </c:ext>
              </c:extLst>
            </c:dLbl>
            <c:dLbl>
              <c:idx val="8"/>
              <c:tx>
                <c:rich>
                  <a:bodyPr/>
                  <a:lstStyle/>
                  <a:p>
                    <a:r>
                      <a:rPr lang="en-US"/>
                      <a:t>$3,087</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66D-4C90-94BF-36191F3C8725}"/>
                </c:ext>
              </c:extLst>
            </c:dLbl>
            <c:dLbl>
              <c:idx val="9"/>
              <c:tx>
                <c:rich>
                  <a:bodyPr/>
                  <a:lstStyle/>
                  <a:p>
                    <a:r>
                      <a:rPr lang="en-US"/>
                      <a:t>$5,884</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66D-4C90-94BF-36191F3C8725}"/>
                </c:ext>
              </c:extLst>
            </c:dLbl>
            <c:dLbl>
              <c:idx val="10"/>
              <c:tx>
                <c:rich>
                  <a:bodyPr/>
                  <a:lstStyle/>
                  <a:p>
                    <a:r>
                      <a:rPr lang="en-US"/>
                      <a:t>$4,028</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66D-4C90-94BF-36191F3C8725}"/>
                </c:ext>
              </c:extLst>
            </c:dLbl>
            <c:dLbl>
              <c:idx val="11"/>
              <c:tx>
                <c:rich>
                  <a:bodyPr/>
                  <a:lstStyle/>
                  <a:p>
                    <a:r>
                      <a:rPr lang="en-US"/>
                      <a:t>$6,279</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66D-4C90-94BF-36191F3C87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1"/>
            <c:dispEq val="0"/>
            <c:trendlineLbl>
              <c:layout>
                <c:manualLayout>
                  <c:x val="0.12106342957130359"/>
                  <c:y val="5.5723242927967339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"$"#,##0.00</c:formatCode>
                <c:ptCount val="12"/>
                <c:pt idx="0">
                  <c:v>5310</c:v>
                </c:pt>
                <c:pt idx="1">
                  <c:v>6263</c:v>
                </c:pt>
                <c:pt idx="2">
                  <c:v>3367</c:v>
                </c:pt>
                <c:pt idx="3">
                  <c:v>7296</c:v>
                </c:pt>
                <c:pt idx="4">
                  <c:v>1822</c:v>
                </c:pt>
                <c:pt idx="5">
                  <c:v>7242</c:v>
                </c:pt>
                <c:pt idx="6">
                  <c:v>2487</c:v>
                </c:pt>
                <c:pt idx="7">
                  <c:v>7334</c:v>
                </c:pt>
                <c:pt idx="8">
                  <c:v>3087</c:v>
                </c:pt>
                <c:pt idx="9">
                  <c:v>5884</c:v>
                </c:pt>
                <c:pt idx="10">
                  <c:v>4028</c:v>
                </c:pt>
                <c:pt idx="11">
                  <c:v>6279</c:v>
                </c:pt>
              </c:numCache>
            </c:numRef>
          </c:val>
          <c:smooth val="0"/>
          <c:extLst>
            <c:ext xmlns:c16="http://schemas.microsoft.com/office/drawing/2014/chart" uri="{C3380CC4-5D6E-409C-BE32-E72D297353CC}">
              <c16:uniqueId val="{0000000D-066D-4C90-94BF-36191F3C8725}"/>
            </c:ext>
          </c:extLst>
        </c:ser>
        <c:dLbls>
          <c:dLblPos val="ctr"/>
          <c:showLegendKey val="0"/>
          <c:showVal val="1"/>
          <c:showCatName val="0"/>
          <c:showSerName val="0"/>
          <c:showPercent val="0"/>
          <c:showBubbleSize val="0"/>
        </c:dLbls>
        <c:marker val="1"/>
        <c:smooth val="0"/>
        <c:axId val="1112984528"/>
        <c:axId val="100379328"/>
      </c:lineChart>
      <c:catAx>
        <c:axId val="1112984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379328"/>
        <c:crosses val="autoZero"/>
        <c:auto val="1"/>
        <c:lblAlgn val="ctr"/>
        <c:lblOffset val="100"/>
        <c:noMultiLvlLbl val="0"/>
      </c:catAx>
      <c:valAx>
        <c:axId val="1003793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29845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163"/>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Sheet1!$D$11</c:f>
              <c:strCache>
                <c:ptCount val="1"/>
                <c:pt idx="0">
                  <c:v>Sum of Revenue</c:v>
                </c:pt>
              </c:strCache>
            </c:strRef>
          </c:tx>
          <c:explosion val="8"/>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E36-4A4C-A192-1E201546E9F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E36-4A4C-A192-1E201546E9F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E36-4A4C-A192-1E201546E9F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E36-4A4C-A192-1E201546E9F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E36-4A4C-A192-1E201546E9FC}"/>
              </c:ext>
            </c:extLst>
          </c:dPt>
          <c:dLbls>
            <c:dLbl>
              <c:idx val="0"/>
              <c:layout>
                <c:manualLayout>
                  <c:x val="-2.567311898512686E-2"/>
                  <c:y val="-0.1021719160104986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36-4A4C-A192-1E201546E9FC}"/>
                </c:ext>
              </c:extLst>
            </c:dLbl>
            <c:dLbl>
              <c:idx val="1"/>
              <c:layout>
                <c:manualLayout>
                  <c:x val="2.6933508311461067E-2"/>
                  <c:y val="-2.24825021872265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36-4A4C-A192-1E201546E9FC}"/>
                </c:ext>
              </c:extLst>
            </c:dLbl>
            <c:dLbl>
              <c:idx val="2"/>
              <c:layout>
                <c:manualLayout>
                  <c:x val="-6.9854549431321083E-3"/>
                  <c:y val="-3.9393044619422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36-4A4C-A192-1E201546E9FC}"/>
                </c:ext>
              </c:extLst>
            </c:dLbl>
            <c:dLbl>
              <c:idx val="3"/>
              <c:layout>
                <c:manualLayout>
                  <c:x val="1.7414479440069991E-2"/>
                  <c:y val="-7.97889326334208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36-4A4C-A192-1E201546E9FC}"/>
                </c:ext>
              </c:extLst>
            </c:dLbl>
            <c:dLbl>
              <c:idx val="4"/>
              <c:layout>
                <c:manualLayout>
                  <c:x val="9.0166119860017505E-2"/>
                  <c:y val="9.89468503937007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36-4A4C-A192-1E201546E9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Sheet1!$C$12:$C$16</c:f>
              <c:strCache>
                <c:ptCount val="5"/>
                <c:pt idx="0">
                  <c:v>Electronics</c:v>
                </c:pt>
                <c:pt idx="1">
                  <c:v>Home Appliances</c:v>
                </c:pt>
                <c:pt idx="2">
                  <c:v>Beauty</c:v>
                </c:pt>
                <c:pt idx="3">
                  <c:v>Clothing</c:v>
                </c:pt>
                <c:pt idx="4">
                  <c:v>Sports</c:v>
                </c:pt>
              </c:strCache>
            </c:strRef>
          </c:cat>
          <c:val>
            <c:numRef>
              <c:f>Sheet1!$D$12:$D$16</c:f>
              <c:numCache>
                <c:formatCode>General</c:formatCode>
                <c:ptCount val="5"/>
                <c:pt idx="0">
                  <c:v>25045</c:v>
                </c:pt>
                <c:pt idx="1">
                  <c:v>12268</c:v>
                </c:pt>
                <c:pt idx="2">
                  <c:v>9344</c:v>
                </c:pt>
                <c:pt idx="3">
                  <c:v>7955</c:v>
                </c:pt>
                <c:pt idx="4">
                  <c:v>5787</c:v>
                </c:pt>
              </c:numCache>
            </c:numRef>
          </c:val>
          <c:extLst>
            <c:ext xmlns:c16="http://schemas.microsoft.com/office/drawing/2014/chart" uri="{C3380CC4-5D6E-409C-BE32-E72D297353CC}">
              <c16:uniqueId val="{0000000A-1E36-4A4C-A192-1E201546E9F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[Month2_Week8_Final_Project (1).xlsx]Sheet1!PivotTable9</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Return Rate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Sheet1!$K$27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Sheet1!$J$28:$J$33</c:f>
              <c:strCache>
                <c:ptCount val="5"/>
                <c:pt idx="0">
                  <c:v>Clothing</c:v>
                </c:pt>
                <c:pt idx="1">
                  <c:v>Beauty</c:v>
                </c:pt>
                <c:pt idx="2">
                  <c:v>Sports</c:v>
                </c:pt>
                <c:pt idx="3">
                  <c:v>Home Appliances</c:v>
                </c:pt>
                <c:pt idx="4">
                  <c:v>Electronics</c:v>
                </c:pt>
              </c:strCache>
            </c:strRef>
          </c:cat>
          <c:val>
            <c:numRef>
              <c:f>Sheet1!$K$28:$K$33</c:f>
              <c:numCache>
                <c:formatCode>General</c:formatCode>
                <c:ptCount val="5"/>
                <c:pt idx="0">
                  <c:v>16</c:v>
                </c:pt>
                <c:pt idx="1">
                  <c:v>16</c:v>
                </c:pt>
                <c:pt idx="2">
                  <c:v>16</c:v>
                </c:pt>
                <c:pt idx="3">
                  <c:v>16</c:v>
                </c:pt>
                <c:pt idx="4">
                  <c:v>32</c:v>
                </c:pt>
              </c:numCache>
            </c:numRef>
          </c:val>
          <c:extLst>
            <c:ext xmlns:c16="http://schemas.microsoft.com/office/drawing/2014/chart" uri="{C3380CC4-5D6E-409C-BE32-E72D297353CC}">
              <c16:uniqueId val="{00000000-E8EF-4FD1-AD51-DC7D820F7A6D}"/>
            </c:ext>
          </c:extLst>
        </c:ser>
        <c:dLbls>
          <c:dLblPos val="outEnd"/>
          <c:showLegendKey val="0"/>
          <c:showVal val="1"/>
          <c:showCatName val="0"/>
          <c:showSerName val="0"/>
          <c:showPercent val="0"/>
          <c:showBubbleSize val="0"/>
        </c:dLbls>
        <c:gapWidth val="182"/>
        <c:overlap val="-50"/>
        <c:axId val="209220016"/>
        <c:axId val="100384128"/>
      </c:barChart>
      <c:catAx>
        <c:axId val="2092200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384128"/>
        <c:crosses val="autoZero"/>
        <c:auto val="1"/>
        <c:lblAlgn val="ctr"/>
        <c:lblOffset val="100"/>
        <c:noMultiLvlLbl val="0"/>
      </c:catAx>
      <c:valAx>
        <c:axId val="1003841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22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 /><Relationship Id="rId2" Type="http://schemas.openxmlformats.org/officeDocument/2006/relationships/chart" Target="../charts/chart5.xml" /><Relationship Id="rId1" Type="http://schemas.openxmlformats.org/officeDocument/2006/relationships/chart" Target="../charts/chart4.xml" /><Relationship Id="rId6" Type="http://schemas.openxmlformats.org/officeDocument/2006/relationships/chart" Target="../charts/chart9.xml" /><Relationship Id="rId5" Type="http://schemas.openxmlformats.org/officeDocument/2006/relationships/chart" Target="../charts/chart8.xml" /><Relationship Id="rId4"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dr:twoCellAnchor>
    <xdr:from>
      <xdr:col>7</xdr:col>
      <xdr:colOff>142875</xdr:colOff>
      <xdr:row>6</xdr:row>
      <xdr:rowOff>42862</xdr:rowOff>
    </xdr:from>
    <xdr:to>
      <xdr:col>14</xdr:col>
      <xdr:colOff>447675</xdr:colOff>
      <xdr:row>20</xdr:row>
      <xdr:rowOff>119062</xdr:rowOff>
    </xdr:to>
    <xdr:graphicFrame macro="">
      <xdr:nvGraphicFramePr>
        <xdr:cNvPr id="2" name="Chart 1">
          <a:extLst>
            <a:ext uri="{FF2B5EF4-FFF2-40B4-BE49-F238E27FC236}">
              <a16:creationId xmlns:a16="http://schemas.microsoft.com/office/drawing/2014/main" id="{BF3F90FD-A0EF-B4FB-551F-8764B543F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709612</xdr:colOff>
      <xdr:row>18</xdr:row>
      <xdr:rowOff>23812</xdr:rowOff>
    </xdr:from>
    <xdr:to>
      <xdr:col>15</xdr:col>
      <xdr:colOff>404812</xdr:colOff>
      <xdr:row>32</xdr:row>
      <xdr:rowOff>100012</xdr:rowOff>
    </xdr:to>
    <xdr:graphicFrame macro="">
      <xdr:nvGraphicFramePr>
        <xdr:cNvPr id="6" name="Chart 5">
          <a:extLst>
            <a:ext uri="{FF2B5EF4-FFF2-40B4-BE49-F238E27FC236}">
              <a16:creationId xmlns:a16="http://schemas.microsoft.com/office/drawing/2014/main" id="{CADC50D6-B410-85F4-F686-AFBAC9A29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1314450</xdr:colOff>
      <xdr:row>14</xdr:row>
      <xdr:rowOff>42862</xdr:rowOff>
    </xdr:from>
    <xdr:to>
      <xdr:col>9</xdr:col>
      <xdr:colOff>552450</xdr:colOff>
      <xdr:row>28</xdr:row>
      <xdr:rowOff>119062</xdr:rowOff>
    </xdr:to>
    <xdr:graphicFrame macro="">
      <xdr:nvGraphicFramePr>
        <xdr:cNvPr id="8" name="Chart 7">
          <a:extLst>
            <a:ext uri="{FF2B5EF4-FFF2-40B4-BE49-F238E27FC236}">
              <a16:creationId xmlns:a16="http://schemas.microsoft.com/office/drawing/2014/main" id="{A736AE95-C756-3C87-17EB-6A201AA24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xdr:rowOff>
    </xdr:from>
    <xdr:to>
      <xdr:col>6</xdr:col>
      <xdr:colOff>14883</xdr:colOff>
      <xdr:row>47</xdr:row>
      <xdr:rowOff>44649</xdr:rowOff>
    </xdr:to>
    <xdr:graphicFrame macro="">
      <xdr:nvGraphicFramePr>
        <xdr:cNvPr id="8" name="Chart 7">
          <a:extLst>
            <a:ext uri="{FF2B5EF4-FFF2-40B4-BE49-F238E27FC236}">
              <a16:creationId xmlns:a16="http://schemas.microsoft.com/office/drawing/2014/main" id="{CEAAFB9D-6EEE-0179-C51F-E2F048920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14882</xdr:colOff>
      <xdr:row>4</xdr:row>
      <xdr:rowOff>14884</xdr:rowOff>
    </xdr:from>
    <xdr:to>
      <xdr:col>14</xdr:col>
      <xdr:colOff>-1</xdr:colOff>
      <xdr:row>30</xdr:row>
      <xdr:rowOff>163712</xdr:rowOff>
    </xdr:to>
    <xdr:graphicFrame macro="">
      <xdr:nvGraphicFramePr>
        <xdr:cNvPr id="6" name="Chart 5">
          <a:extLst>
            <a:ext uri="{FF2B5EF4-FFF2-40B4-BE49-F238E27FC236}">
              <a16:creationId xmlns:a16="http://schemas.microsoft.com/office/drawing/2014/main" id="{B0200890-6A14-917D-E93F-6F3B263C0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3</xdr:row>
      <xdr:rowOff>314324</xdr:rowOff>
    </xdr:from>
    <xdr:to>
      <xdr:col>5</xdr:col>
      <xdr:colOff>2686050</xdr:colOff>
      <xdr:row>12</xdr:row>
      <xdr:rowOff>0</xdr:rowOff>
    </xdr:to>
    <xdr:graphicFrame macro="">
      <xdr:nvGraphicFramePr>
        <xdr:cNvPr id="2" name="Chart 1">
          <a:extLst>
            <a:ext uri="{FF2B5EF4-FFF2-40B4-BE49-F238E27FC236}">
              <a16:creationId xmlns:a16="http://schemas.microsoft.com/office/drawing/2014/main" id="{D8CF89B7-1FC4-494D-ABD2-EACF51C84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266699</xdr:colOff>
      <xdr:row>12</xdr:row>
      <xdr:rowOff>76199</xdr:rowOff>
    </xdr:from>
    <xdr:to>
      <xdr:col>4</xdr:col>
      <xdr:colOff>47625</xdr:colOff>
      <xdr:row>25</xdr:row>
      <xdr:rowOff>66675</xdr:rowOff>
    </xdr:to>
    <xdr:graphicFrame macro="">
      <xdr:nvGraphicFramePr>
        <xdr:cNvPr id="3" name="Chart 2">
          <a:extLst>
            <a:ext uri="{FF2B5EF4-FFF2-40B4-BE49-F238E27FC236}">
              <a16:creationId xmlns:a16="http://schemas.microsoft.com/office/drawing/2014/main" id="{343DABAC-11BA-4199-990C-00FAF7CE9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200024</xdr:colOff>
      <xdr:row>12</xdr:row>
      <xdr:rowOff>66675</xdr:rowOff>
    </xdr:from>
    <xdr:to>
      <xdr:col>5</xdr:col>
      <xdr:colOff>2562224</xdr:colOff>
      <xdr:row>25</xdr:row>
      <xdr:rowOff>66675</xdr:rowOff>
    </xdr:to>
    <xdr:graphicFrame macro="">
      <xdr:nvGraphicFramePr>
        <xdr:cNvPr id="4" name="Chart 3">
          <a:extLst>
            <a:ext uri="{FF2B5EF4-FFF2-40B4-BE49-F238E27FC236}">
              <a16:creationId xmlns:a16="http://schemas.microsoft.com/office/drawing/2014/main" id="{3E172C0F-AFBD-470A-948F-23119F96B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142875</xdr:colOff>
      <xdr:row>12</xdr:row>
      <xdr:rowOff>95249</xdr:rowOff>
    </xdr:from>
    <xdr:to>
      <xdr:col>2</xdr:col>
      <xdr:colOff>104774</xdr:colOff>
      <xdr:row>25</xdr:row>
      <xdr:rowOff>57150</xdr:rowOff>
    </xdr:to>
    <xdr:graphicFrame macro="">
      <xdr:nvGraphicFramePr>
        <xdr:cNvPr id="5" name="Chart 4">
          <a:extLst>
            <a:ext uri="{FF2B5EF4-FFF2-40B4-BE49-F238E27FC236}">
              <a16:creationId xmlns:a16="http://schemas.microsoft.com/office/drawing/2014/main" id="{542E1614-43EC-47EA-95E6-07E5C87DF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sir Ahmed" refreshedDate="46215.644287037037" createdVersion="8" refreshedVersion="8" minRefreshableVersion="3" recordCount="96" xr:uid="{E2EBCA1A-084B-4EBF-BC6B-8CDA1C4FB660}">
  <cacheSource type="worksheet">
    <worksheetSource ref="A3:O99" sheet="Raw Sales Data"/>
  </cacheSource>
  <cacheFields count="14">
    <cacheField name="Order ID" numFmtId="0">
      <sharedItems/>
    </cacheField>
    <cacheField name="Order Date" numFmtId="0">
      <sharedItems count="96">
        <s v="2025-01-04"/>
        <s v="2025-01-07"/>
        <s v="2025-01-10"/>
        <s v="2025-01-13"/>
        <s v="2025-01-16"/>
        <s v="2025-01-19"/>
        <s v="2025-01-22"/>
        <s v="2025-01-25"/>
        <s v="2025-02-04"/>
        <s v="2025-02-07"/>
        <s v="2025-02-10"/>
        <s v="2025-02-13"/>
        <s v="2025-02-16"/>
        <s v="2025-02-19"/>
        <s v="2025-02-22"/>
        <s v="2025-02-25"/>
        <s v="2025-03-04"/>
        <s v="2025-03-07"/>
        <s v="2025-03-10"/>
        <s v="2025-03-13"/>
        <s v="2025-03-16"/>
        <s v="2025-03-19"/>
        <s v="2025-03-22"/>
        <s v="2025-03-25"/>
        <s v="2025-04-04"/>
        <s v="2025-04-07"/>
        <s v="2025-04-10"/>
        <s v="2025-04-13"/>
        <s v="2025-04-16"/>
        <s v="2025-04-19"/>
        <s v="2025-04-22"/>
        <s v="2025-04-25"/>
        <s v="2025-05-04"/>
        <s v="2025-05-07"/>
        <s v="2025-05-10"/>
        <s v="2025-05-13"/>
        <s v="2025-05-16"/>
        <s v="2025-05-19"/>
        <s v="2025-05-22"/>
        <s v="2025-05-25"/>
        <s v="2025-06-04"/>
        <s v="2025-06-07"/>
        <s v="2025-06-10"/>
        <s v="2025-06-13"/>
        <s v="2025-06-16"/>
        <s v="2025-06-19"/>
        <s v="2025-06-22"/>
        <s v="2025-06-25"/>
        <s v="2025-07-04"/>
        <s v="2025-07-07"/>
        <s v="2025-07-10"/>
        <s v="2025-07-13"/>
        <s v="2025-07-16"/>
        <s v="2025-07-19"/>
        <s v="2025-07-22"/>
        <s v="2025-07-25"/>
        <s v="2025-08-04"/>
        <s v="2025-08-07"/>
        <s v="2025-08-10"/>
        <s v="2025-08-13"/>
        <s v="2025-08-16"/>
        <s v="2025-08-19"/>
        <s v="2025-08-22"/>
        <s v="2025-08-25"/>
        <s v="2025-09-04"/>
        <s v="2025-09-07"/>
        <s v="2025-09-10"/>
        <s v="2025-09-13"/>
        <s v="2025-09-16"/>
        <s v="2025-09-19"/>
        <s v="2025-09-22"/>
        <s v="2025-09-25"/>
        <s v="2025-10-04"/>
        <s v="2025-10-07"/>
        <s v="2025-10-10"/>
        <s v="2025-10-13"/>
        <s v="2025-10-16"/>
        <s v="2025-10-19"/>
        <s v="2025-10-22"/>
        <s v="2025-10-25"/>
        <s v="2025-11-04"/>
        <s v="2025-11-07"/>
        <s v="2025-11-10"/>
        <s v="2025-11-13"/>
        <s v="2025-11-16"/>
        <s v="2025-11-19"/>
        <s v="2025-11-22"/>
        <s v="2025-11-25"/>
        <s v="2025-12-04"/>
        <s v="2025-12-07"/>
        <s v="2025-12-10"/>
        <s v="2025-12-13"/>
        <s v="2025-12-16"/>
        <s v="2025-12-19"/>
        <s v="2025-12-22"/>
        <s v="2025-12-25"/>
      </sharedItems>
    </cacheField>
    <cacheField name="Rep ID" numFmtId="0">
      <sharedItems count="10">
        <s v="E002"/>
        <s v="E003"/>
        <s v="E004"/>
        <s v="E005"/>
        <s v="E006"/>
        <s v="E007"/>
        <s v="E008"/>
        <s v="E009"/>
        <s v="E010"/>
        <s v="E001"/>
      </sharedItems>
    </cacheField>
    <cacheField name="Rep Name" numFmtId="0">
      <sharedItems count="10">
        <s v="Sarah Connor"/>
        <s v="Mike Johnson"/>
        <s v="Emily Davis"/>
        <s v="Robert Brown"/>
        <s v="Lisa Martinez"/>
        <s v="David Lee"/>
        <s v="Jennifer Taylor"/>
        <s v="Chris Anderson"/>
        <s v="Amanda Thomas"/>
        <s v="James Wilson"/>
      </sharedItems>
    </cacheField>
    <cacheField name="Region" numFmtId="0">
      <sharedItems count="4">
        <s v="North"/>
        <s v="South"/>
        <s v="East"/>
        <s v="West"/>
      </sharedItems>
    </cacheField>
    <cacheField name="Category" numFmtId="0">
      <sharedItems count="5">
        <s v="Electronics"/>
        <s v="Clothing"/>
        <s v="Home Appliances"/>
        <s v="Beauty"/>
        <s v="Sports"/>
      </sharedItems>
    </cacheField>
    <cacheField name="Product Code" numFmtId="0">
      <sharedItems/>
    </cacheField>
    <cacheField name="Quantity" numFmtId="0">
      <sharedItems containsMixedTypes="1" containsNumber="1" containsInteger="1" minValue="1" maxValue="3"/>
    </cacheField>
    <cacheField name="Employee ID Ref" numFmtId="0">
      <sharedItems/>
    </cacheField>
    <cacheField name="Unit Price" numFmtId="0">
      <sharedItems containsSemiMixedTypes="0" containsString="0" containsNumber="1" containsInteger="1" minValue="42" maxValue="1495"/>
    </cacheField>
    <cacheField name="Delivery Date" numFmtId="0">
      <sharedItems/>
    </cacheField>
    <cacheField name="Revenue" numFmtId="165">
      <sharedItems containsSemiMixedTypes="0" containsString="0" containsNumber="1" containsInteger="1" minValue="42" maxValue="2598"/>
    </cacheField>
    <cacheField name="Payment Method" numFmtId="0">
      <sharedItems/>
    </cacheField>
    <cacheField name="Return Status"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sir Ahmed" refreshedDate="46215.698313541667" createdVersion="8" refreshedVersion="8" minRefreshableVersion="3" recordCount="96" xr:uid="{2891B841-C35A-4736-BA39-F98B96F51B7E}">
  <cacheSource type="worksheet">
    <worksheetSource ref="C3:O99" sheet="Raw Sales Data"/>
  </cacheSource>
  <cacheFields count="13">
    <cacheField name="Month" numFmtId="0">
      <sharedItems count="12">
        <s v="January"/>
        <s v="February"/>
        <s v="March"/>
        <s v="April"/>
        <s v="May"/>
        <s v="June"/>
        <s v="July"/>
        <s v="August"/>
        <s v="September"/>
        <s v="October"/>
        <s v="November"/>
        <s v="December"/>
      </sharedItems>
    </cacheField>
    <cacheField name="Rep ID" numFmtId="0">
      <sharedItems/>
    </cacheField>
    <cacheField name="Rep Name" numFmtId="0">
      <sharedItems/>
    </cacheField>
    <cacheField name="Region" numFmtId="0">
      <sharedItems/>
    </cacheField>
    <cacheField name="Category" numFmtId="0">
      <sharedItems/>
    </cacheField>
    <cacheField name="Product Code" numFmtId="0">
      <sharedItems/>
    </cacheField>
    <cacheField name="Quantity" numFmtId="0">
      <sharedItems containsMixedTypes="1" containsNumber="1" containsInteger="1" minValue="1" maxValue="3"/>
    </cacheField>
    <cacheField name="Employee ID Ref" numFmtId="0">
      <sharedItems/>
    </cacheField>
    <cacheField name="Unit Price" numFmtId="0">
      <sharedItems containsSemiMixedTypes="0" containsString="0" containsNumber="1" containsInteger="1" minValue="42" maxValue="1495"/>
    </cacheField>
    <cacheField name="Delivery Date" numFmtId="0">
      <sharedItems/>
    </cacheField>
    <cacheField name="Revenue" numFmtId="165">
      <sharedItems containsSemiMixedTypes="0" containsString="0" containsNumber="1" containsInteger="1" minValue="42" maxValue="2598"/>
    </cacheField>
    <cacheField name="Payment Method" numFmtId="0">
      <sharedItems/>
    </cacheField>
    <cacheField name="Return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VT-0001"/>
    <x v="0"/>
    <x v="0"/>
    <x v="0"/>
    <x v="0"/>
    <x v="0"/>
    <s v="EL-2205"/>
    <n v="2"/>
    <s v="E002"/>
    <n v="1299"/>
    <s v="2025-01-08"/>
    <n v="2598"/>
    <s v="PayPal"/>
    <x v="0"/>
  </r>
  <r>
    <s v="VT-0002"/>
    <x v="1"/>
    <x v="1"/>
    <x v="1"/>
    <x v="0"/>
    <x v="0"/>
    <s v="EL-2210"/>
    <n v="1"/>
    <s v="E003"/>
    <n v="1099"/>
    <s v="2025-01-12"/>
    <n v="1099"/>
    <s v="Debit Card"/>
    <x v="0"/>
  </r>
  <r>
    <s v="VT-0003"/>
    <x v="2"/>
    <x v="2"/>
    <x v="2"/>
    <x v="0"/>
    <x v="0"/>
    <s v="CL-1102"/>
    <n v="3"/>
    <s v="E004"/>
    <n v="89"/>
    <s v="2025-01-13"/>
    <n v="267"/>
    <s v="Credit Card"/>
    <x v="0"/>
  </r>
  <r>
    <s v="VT-0004"/>
    <x v="3"/>
    <x v="3"/>
    <x v="3"/>
    <x v="1"/>
    <x v="1"/>
    <s v="CL-1108"/>
    <n v="1"/>
    <s v="E005"/>
    <n v="79"/>
    <s v="2025-01-10"/>
    <n v="79"/>
    <s v="PayPal"/>
    <x v="0"/>
  </r>
  <r>
    <s v="VT-0005"/>
    <x v="4"/>
    <x v="4"/>
    <x v="4"/>
    <x v="1"/>
    <x v="1"/>
    <s v="CL-1120"/>
    <n v="2"/>
    <s v="E006"/>
    <n v="95"/>
    <s v="2025-01-20"/>
    <n v="190"/>
    <s v="Debit Card"/>
    <x v="0"/>
  </r>
  <r>
    <s v="VT-0006"/>
    <x v="5"/>
    <x v="5"/>
    <x v="5"/>
    <x v="1"/>
    <x v="2"/>
    <s v="HA-3301"/>
    <n v="1"/>
    <s v="E007"/>
    <n v="549"/>
    <s v="2025-01-22"/>
    <n v="549"/>
    <s v="Credit Card"/>
    <x v="0"/>
  </r>
  <r>
    <s v="VT-0007"/>
    <x v="6"/>
    <x v="6"/>
    <x v="6"/>
    <x v="2"/>
    <x v="2"/>
    <s v="HA-3305"/>
    <n v="1"/>
    <s v="E008"/>
    <n v="399"/>
    <s v="2025-01-27"/>
    <n v="399"/>
    <s v="PayPal"/>
    <x v="0"/>
  </r>
  <r>
    <s v="VT-0008"/>
    <x v="7"/>
    <x v="7"/>
    <x v="7"/>
    <x v="2"/>
    <x v="3"/>
    <s v="HA-3308"/>
    <n v="1"/>
    <s v="E009"/>
    <n v="129"/>
    <s v="2025-01-28"/>
    <n v="129"/>
    <s v="Debit Card"/>
    <x v="0"/>
  </r>
  <r>
    <s v="VT-0009"/>
    <x v="8"/>
    <x v="8"/>
    <x v="8"/>
    <x v="2"/>
    <x v="3"/>
    <s v="BE-4401"/>
    <n v="2"/>
    <s v="E010"/>
    <n v="42"/>
    <s v="2025-02-07"/>
    <n v="84"/>
    <s v="Credit Card"/>
    <x v="0"/>
  </r>
  <r>
    <s v="VT-0010"/>
    <x v="9"/>
    <x v="9"/>
    <x v="9"/>
    <x v="3"/>
    <x v="4"/>
    <s v="BE-4402"/>
    <n v="1"/>
    <s v="E001"/>
    <n v="125"/>
    <s v="2025-02-10"/>
    <n v="125"/>
    <s v="PayPal"/>
    <x v="0"/>
  </r>
  <r>
    <s v="VT-0011"/>
    <x v="10"/>
    <x v="0"/>
    <x v="0"/>
    <x v="3"/>
    <x v="4"/>
    <s v="BE-4408"/>
    <n v="2"/>
    <s v="E002"/>
    <n v="58"/>
    <s v="2025-02-14"/>
    <n v="116"/>
    <s v="Debit Card"/>
    <x v="1"/>
  </r>
  <r>
    <s v="VT-0012"/>
    <x v="11"/>
    <x v="1"/>
    <x v="1"/>
    <x v="0"/>
    <x v="0"/>
    <s v="SP-5501"/>
    <n v="1"/>
    <s v="E003"/>
    <n v="1495"/>
    <s v="2025-02-18"/>
    <n v="1495"/>
    <s v="Credit Card"/>
    <x v="0"/>
  </r>
  <r>
    <s v="VT-0013"/>
    <x v="12"/>
    <x v="2"/>
    <x v="2"/>
    <x v="0"/>
    <x v="0"/>
    <s v="SP-5505"/>
    <n v="3"/>
    <s v="E004"/>
    <n v="299"/>
    <s v="2025-02-19"/>
    <n v="897"/>
    <s v="PayPal"/>
    <x v="0"/>
  </r>
  <r>
    <s v="VT-0014"/>
    <x v="13"/>
    <x v="3"/>
    <x v="3"/>
    <x v="0"/>
    <x v="0"/>
    <s v="SP-5510"/>
    <n v="1"/>
    <s v="E005"/>
    <n v="249"/>
    <s v="2025-02-16"/>
    <n v="249"/>
    <s v="Debit Card"/>
    <x v="0"/>
  </r>
  <r>
    <s v="VT-0015"/>
    <x v="14"/>
    <x v="4"/>
    <x v="4"/>
    <x v="0"/>
    <x v="0"/>
    <s v="EL-2201"/>
    <n v="2"/>
    <s v="E006"/>
    <n v="999"/>
    <s v="2025-02-26"/>
    <n v="1998"/>
    <s v="Credit Card"/>
    <x v="0"/>
  </r>
  <r>
    <s v="VT-0016"/>
    <x v="15"/>
    <x v="5"/>
    <x v="5"/>
    <x v="1"/>
    <x v="1"/>
    <s v="EL-2205"/>
    <n v="1"/>
    <s v="E007"/>
    <n v="1299"/>
    <s v="2025-02-28"/>
    <n v="1299"/>
    <s v="PayPal"/>
    <x v="0"/>
  </r>
  <r>
    <s v="VT-0017"/>
    <x v="16"/>
    <x v="6"/>
    <x v="6"/>
    <x v="1"/>
    <x v="1"/>
    <s v="EL-2210"/>
    <s v="1"/>
    <s v="E008"/>
    <n v="1099"/>
    <s v="2025-03-09"/>
    <n v="1099"/>
    <s v="Debit Card"/>
    <x v="0"/>
  </r>
  <r>
    <s v="VT-0018"/>
    <x v="17"/>
    <x v="7"/>
    <x v="7"/>
    <x v="1"/>
    <x v="2"/>
    <s v="CL-1102"/>
    <n v="1"/>
    <s v="E009"/>
    <n v="89"/>
    <s v="2025-03-11"/>
    <n v="89"/>
    <s v="Credit Card"/>
    <x v="0"/>
  </r>
  <r>
    <s v="VT-0019"/>
    <x v="18"/>
    <x v="8"/>
    <x v="8"/>
    <x v="2"/>
    <x v="2"/>
    <s v="CL-1108"/>
    <n v="2"/>
    <s v="E010"/>
    <n v="79"/>
    <s v="2025-03-13"/>
    <n v="158"/>
    <s v="PayPal"/>
    <x v="0"/>
  </r>
  <r>
    <s v="VT-0020"/>
    <x v="19"/>
    <x v="9"/>
    <x v="9"/>
    <x v="2"/>
    <x v="3"/>
    <s v="CL-1120"/>
    <n v="1"/>
    <s v="E001"/>
    <n v="95"/>
    <s v="2025-03-16"/>
    <n v="95"/>
    <s v="Debit Card"/>
    <x v="0"/>
  </r>
  <r>
    <s v="VT-0021"/>
    <x v="20"/>
    <x v="0"/>
    <x v="0"/>
    <x v="2"/>
    <x v="3"/>
    <s v="HA-3301"/>
    <n v="2"/>
    <s v="E002"/>
    <n v="549"/>
    <s v="2025-03-20"/>
    <n v="1098"/>
    <s v="Credit Card"/>
    <x v="0"/>
  </r>
  <r>
    <s v="VT-0022"/>
    <x v="21"/>
    <x v="1"/>
    <x v="1"/>
    <x v="3"/>
    <x v="4"/>
    <s v="HA-3305"/>
    <n v="1"/>
    <s v="E003"/>
    <n v="399"/>
    <s v="2025-03-24"/>
    <n v="399"/>
    <s v="PayPal"/>
    <x v="1"/>
  </r>
  <r>
    <s v="VT-0023"/>
    <x v="22"/>
    <x v="2"/>
    <x v="2"/>
    <x v="3"/>
    <x v="4"/>
    <s v="HA-3308"/>
    <n v="3"/>
    <s v="E004"/>
    <n v="129"/>
    <s v="2025-03-25"/>
    <n v="387"/>
    <s v="Debit Card"/>
    <x v="0"/>
  </r>
  <r>
    <s v="VT-0024"/>
    <x v="23"/>
    <x v="3"/>
    <x v="3"/>
    <x v="0"/>
    <x v="0"/>
    <s v="BE-4401"/>
    <n v="1"/>
    <s v="E005"/>
    <n v="42"/>
    <s v="2025-03-22"/>
    <n v="42"/>
    <s v="Credit Card"/>
    <x v="0"/>
  </r>
  <r>
    <s v="VT-0025"/>
    <x v="24"/>
    <x v="4"/>
    <x v="4"/>
    <x v="0"/>
    <x v="0"/>
    <s v="BE-4402"/>
    <n v="2"/>
    <s v="E006"/>
    <n v="125"/>
    <s v="2025-04-08"/>
    <n v="250"/>
    <s v="PayPal"/>
    <x v="0"/>
  </r>
  <r>
    <s v="VT-0026"/>
    <x v="25"/>
    <x v="5"/>
    <x v="5"/>
    <x v="0"/>
    <x v="0"/>
    <s v="BE-4408"/>
    <n v="1"/>
    <s v="E007"/>
    <n v="58"/>
    <s v="2025-04-10"/>
    <n v="58"/>
    <s v="Debit Card"/>
    <x v="0"/>
  </r>
  <r>
    <s v="VT-0027"/>
    <x v="26"/>
    <x v="6"/>
    <x v="6"/>
    <x v="0"/>
    <x v="0"/>
    <s v="SP-5501"/>
    <s v="1"/>
    <s v="E008"/>
    <n v="1495"/>
    <s v="2025-04-15"/>
    <n v="1495"/>
    <s v="Credit Card"/>
    <x v="0"/>
  </r>
  <r>
    <s v="VT-0028"/>
    <x v="27"/>
    <x v="7"/>
    <x v="7"/>
    <x v="1"/>
    <x v="1"/>
    <s v="SP-5505"/>
    <n v="1"/>
    <s v="E009"/>
    <n v="299"/>
    <s v="2025-04-17"/>
    <n v="299"/>
    <s v="PayPal"/>
    <x v="0"/>
  </r>
  <r>
    <s v="VT-0029"/>
    <x v="28"/>
    <x v="8"/>
    <x v="8"/>
    <x v="1"/>
    <x v="1"/>
    <s v="SP-5510"/>
    <n v="2"/>
    <s v="E010"/>
    <n v="249"/>
    <s v="2025-04-19"/>
    <n v="498"/>
    <s v="Debit Card"/>
    <x v="0"/>
  </r>
  <r>
    <s v="VT-0030"/>
    <x v="29"/>
    <x v="9"/>
    <x v="9"/>
    <x v="1"/>
    <x v="2"/>
    <s v="EL-2201"/>
    <n v="1"/>
    <s v="E001"/>
    <n v="999"/>
    <s v="2025-04-22"/>
    <n v="999"/>
    <s v="Credit Card"/>
    <x v="0"/>
  </r>
  <r>
    <s v="VT-0031"/>
    <x v="30"/>
    <x v="0"/>
    <x v="0"/>
    <x v="2"/>
    <x v="2"/>
    <s v="EL-2205"/>
    <n v="2"/>
    <s v="E002"/>
    <n v="1299"/>
    <s v="2025-04-26"/>
    <n v="2598"/>
    <s v="PayPal"/>
    <x v="0"/>
  </r>
  <r>
    <s v="VT-0032"/>
    <x v="31"/>
    <x v="1"/>
    <x v="1"/>
    <x v="2"/>
    <x v="3"/>
    <s v="EL-2210"/>
    <n v="1"/>
    <s v="E003"/>
    <n v="1099"/>
    <s v="2025-04-28"/>
    <n v="1099"/>
    <s v="Debit Card"/>
    <x v="0"/>
  </r>
  <r>
    <s v="VT-0033"/>
    <x v="32"/>
    <x v="2"/>
    <x v="2"/>
    <x v="2"/>
    <x v="3"/>
    <s v="CL-1102"/>
    <n v="3"/>
    <s v="E004"/>
    <n v="89"/>
    <s v="2025-05-07"/>
    <n v="267"/>
    <s v="Credit Card"/>
    <x v="1"/>
  </r>
  <r>
    <s v="VT-0034"/>
    <x v="33"/>
    <x v="3"/>
    <x v="3"/>
    <x v="3"/>
    <x v="4"/>
    <s v="CL-1108"/>
    <n v="1"/>
    <s v="E005"/>
    <n v="79"/>
    <s v="2025-05-04"/>
    <n v="79"/>
    <s v="PayPal"/>
    <x v="0"/>
  </r>
  <r>
    <s v="VT-0035"/>
    <x v="34"/>
    <x v="4"/>
    <x v="4"/>
    <x v="3"/>
    <x v="4"/>
    <s v="CL-1120"/>
    <n v="2"/>
    <s v="E006"/>
    <n v="95"/>
    <s v="2025-05-14"/>
    <n v="190"/>
    <s v="Debit Card"/>
    <x v="0"/>
  </r>
  <r>
    <s v="VT-0036"/>
    <x v="35"/>
    <x v="5"/>
    <x v="5"/>
    <x v="0"/>
    <x v="0"/>
    <s v="HA-3301"/>
    <n v="1"/>
    <s v="E007"/>
    <n v="549"/>
    <s v="2025-05-16"/>
    <n v="549"/>
    <s v="Credit Card"/>
    <x v="0"/>
  </r>
  <r>
    <s v="VT-0037"/>
    <x v="36"/>
    <x v="6"/>
    <x v="6"/>
    <x v="0"/>
    <x v="0"/>
    <s v="HA-3305"/>
    <s v="1"/>
    <s v="E008"/>
    <n v="399"/>
    <s v="2025-05-21"/>
    <n v="399"/>
    <s v="PayPal"/>
    <x v="0"/>
  </r>
  <r>
    <s v="VT-0038"/>
    <x v="37"/>
    <x v="7"/>
    <x v="7"/>
    <x v="0"/>
    <x v="0"/>
    <s v="HA-3308"/>
    <n v="1"/>
    <s v="E009"/>
    <n v="129"/>
    <s v="2025-05-23"/>
    <n v="129"/>
    <s v="Debit Card"/>
    <x v="0"/>
  </r>
  <r>
    <s v="VT-0039"/>
    <x v="38"/>
    <x v="8"/>
    <x v="8"/>
    <x v="0"/>
    <x v="0"/>
    <s v="BE-4401"/>
    <n v="2"/>
    <s v="E010"/>
    <n v="42"/>
    <s v="2025-05-25"/>
    <n v="84"/>
    <s v="Credit Card"/>
    <x v="0"/>
  </r>
  <r>
    <s v="VT-0040"/>
    <x v="39"/>
    <x v="9"/>
    <x v="9"/>
    <x v="1"/>
    <x v="1"/>
    <s v="BE-4402"/>
    <n v="1"/>
    <s v="E001"/>
    <n v="125"/>
    <s v="2025-05-28"/>
    <n v="125"/>
    <s v="PayPal"/>
    <x v="0"/>
  </r>
  <r>
    <s v="VT-0041"/>
    <x v="40"/>
    <x v="0"/>
    <x v="0"/>
    <x v="1"/>
    <x v="1"/>
    <s v="BE-4408"/>
    <n v="2"/>
    <s v="E002"/>
    <n v="58"/>
    <s v="2025-06-08"/>
    <n v="116"/>
    <s v="Debit Card"/>
    <x v="0"/>
  </r>
  <r>
    <s v="VT-0042"/>
    <x v="41"/>
    <x v="1"/>
    <x v="1"/>
    <x v="1"/>
    <x v="2"/>
    <s v="SP-5501"/>
    <n v="1"/>
    <s v="E003"/>
    <n v="1495"/>
    <s v="2025-06-12"/>
    <n v="1495"/>
    <s v="Credit Card"/>
    <x v="0"/>
  </r>
  <r>
    <s v="VT-0043"/>
    <x v="42"/>
    <x v="2"/>
    <x v="2"/>
    <x v="2"/>
    <x v="2"/>
    <s v="SP-5505"/>
    <n v="3"/>
    <s v="E004"/>
    <n v="299"/>
    <s v="2025-06-13"/>
    <n v="897"/>
    <s v="PayPal"/>
    <x v="0"/>
  </r>
  <r>
    <s v="VT-0044"/>
    <x v="43"/>
    <x v="3"/>
    <x v="3"/>
    <x v="2"/>
    <x v="3"/>
    <s v="SP-5510"/>
    <n v="1"/>
    <s v="E005"/>
    <n v="249"/>
    <s v="2025-06-10"/>
    <n v="249"/>
    <s v="Debit Card"/>
    <x v="1"/>
  </r>
  <r>
    <s v="VT-0045"/>
    <x v="44"/>
    <x v="4"/>
    <x v="4"/>
    <x v="2"/>
    <x v="3"/>
    <s v="EL-2201"/>
    <n v="2"/>
    <s v="E006"/>
    <n v="999"/>
    <s v="2025-06-20"/>
    <n v="1998"/>
    <s v="Credit Card"/>
    <x v="0"/>
  </r>
  <r>
    <s v="VT-0046"/>
    <x v="45"/>
    <x v="5"/>
    <x v="5"/>
    <x v="3"/>
    <x v="4"/>
    <s v="EL-2205"/>
    <n v="1"/>
    <s v="E007"/>
    <n v="1299"/>
    <s v="2025-06-22"/>
    <n v="1299"/>
    <s v="PayPal"/>
    <x v="0"/>
  </r>
  <r>
    <s v="VT-0047"/>
    <x v="46"/>
    <x v="6"/>
    <x v="6"/>
    <x v="3"/>
    <x v="4"/>
    <s v="EL-2210"/>
    <s v="1"/>
    <s v="E008"/>
    <n v="1099"/>
    <s v="2025-06-27"/>
    <n v="1099"/>
    <s v="Debit Card"/>
    <x v="0"/>
  </r>
  <r>
    <s v="VT-0048"/>
    <x v="47"/>
    <x v="7"/>
    <x v="7"/>
    <x v="0"/>
    <x v="0"/>
    <s v="CL-1102"/>
    <n v="1"/>
    <s v="E009"/>
    <n v="89"/>
    <s v="2025-06-28"/>
    <n v="89"/>
    <s v="Credit Card"/>
    <x v="0"/>
  </r>
  <r>
    <s v="VT-0049"/>
    <x v="48"/>
    <x v="8"/>
    <x v="8"/>
    <x v="0"/>
    <x v="0"/>
    <s v="CL-1108"/>
    <n v="2"/>
    <s v="E010"/>
    <n v="79"/>
    <s v="2025-07-07"/>
    <n v="158"/>
    <s v="PayPal"/>
    <x v="0"/>
  </r>
  <r>
    <s v="VT-0050"/>
    <x v="49"/>
    <x v="9"/>
    <x v="9"/>
    <x v="0"/>
    <x v="0"/>
    <s v="CL-1120"/>
    <n v="1"/>
    <s v="E001"/>
    <n v="95"/>
    <s v="2025-07-10"/>
    <n v="95"/>
    <s v="Debit Card"/>
    <x v="0"/>
  </r>
  <r>
    <s v="VT-0051"/>
    <x v="50"/>
    <x v="0"/>
    <x v="0"/>
    <x v="0"/>
    <x v="0"/>
    <s v="HA-3301"/>
    <n v="2"/>
    <s v="E002"/>
    <n v="549"/>
    <s v="2025-07-14"/>
    <n v="1098"/>
    <s v="Credit Card"/>
    <x v="0"/>
  </r>
  <r>
    <s v="VT-0052"/>
    <x v="51"/>
    <x v="1"/>
    <x v="1"/>
    <x v="1"/>
    <x v="1"/>
    <s v="HA-3305"/>
    <n v="1"/>
    <s v="E003"/>
    <n v="399"/>
    <s v="2025-07-18"/>
    <n v="399"/>
    <s v="PayPal"/>
    <x v="0"/>
  </r>
  <r>
    <s v="VT-0053"/>
    <x v="52"/>
    <x v="2"/>
    <x v="2"/>
    <x v="1"/>
    <x v="1"/>
    <s v="HA-3308"/>
    <n v="3"/>
    <s v="E004"/>
    <n v="129"/>
    <s v="2025-07-19"/>
    <n v="387"/>
    <s v="Debit Card"/>
    <x v="0"/>
  </r>
  <r>
    <s v="VT-0054"/>
    <x v="53"/>
    <x v="3"/>
    <x v="3"/>
    <x v="1"/>
    <x v="2"/>
    <s v="BE-4401"/>
    <n v="1"/>
    <s v="E005"/>
    <n v="42"/>
    <s v="2025-07-16"/>
    <n v="42"/>
    <s v="Credit Card"/>
    <x v="0"/>
  </r>
  <r>
    <s v="VT-0055"/>
    <x v="54"/>
    <x v="4"/>
    <x v="4"/>
    <x v="2"/>
    <x v="2"/>
    <s v="BE-4402"/>
    <n v="2"/>
    <s v="E006"/>
    <n v="125"/>
    <s v="2025-07-26"/>
    <n v="250"/>
    <s v="PayPal"/>
    <x v="1"/>
  </r>
  <r>
    <s v="VT-0056"/>
    <x v="55"/>
    <x v="5"/>
    <x v="5"/>
    <x v="2"/>
    <x v="3"/>
    <s v="BE-4408"/>
    <n v="1"/>
    <s v="E007"/>
    <n v="58"/>
    <s v="2025-07-28"/>
    <n v="58"/>
    <s v="Debit Card"/>
    <x v="0"/>
  </r>
  <r>
    <s v="VT-0057"/>
    <x v="56"/>
    <x v="6"/>
    <x v="6"/>
    <x v="2"/>
    <x v="3"/>
    <s v="SP-5501"/>
    <s v="1"/>
    <s v="E008"/>
    <n v="1495"/>
    <s v="2025-08-09"/>
    <n v="1495"/>
    <s v="Credit Card"/>
    <x v="0"/>
  </r>
  <r>
    <s v="VT-0058"/>
    <x v="57"/>
    <x v="7"/>
    <x v="7"/>
    <x v="3"/>
    <x v="4"/>
    <s v="SP-5505"/>
    <n v="1"/>
    <s v="E009"/>
    <n v="299"/>
    <s v="2025-08-11"/>
    <n v="299"/>
    <s v="PayPal"/>
    <x v="0"/>
  </r>
  <r>
    <s v="VT-0059"/>
    <x v="58"/>
    <x v="8"/>
    <x v="8"/>
    <x v="3"/>
    <x v="4"/>
    <s v="SP-5510"/>
    <n v="2"/>
    <s v="E010"/>
    <n v="249"/>
    <s v="2025-08-13"/>
    <n v="498"/>
    <s v="Debit Card"/>
    <x v="0"/>
  </r>
  <r>
    <s v="VT-0060"/>
    <x v="59"/>
    <x v="9"/>
    <x v="9"/>
    <x v="0"/>
    <x v="0"/>
    <s v="EL-2201"/>
    <n v="1"/>
    <s v="E001"/>
    <n v="999"/>
    <s v="2025-08-16"/>
    <n v="999"/>
    <s v="Credit Card"/>
    <x v="0"/>
  </r>
  <r>
    <s v="VT-0061"/>
    <x v="60"/>
    <x v="0"/>
    <x v="0"/>
    <x v="0"/>
    <x v="0"/>
    <s v="EL-2205"/>
    <n v="2"/>
    <s v="E002"/>
    <n v="1299"/>
    <s v="2025-08-20"/>
    <n v="2598"/>
    <s v="PayPal"/>
    <x v="0"/>
  </r>
  <r>
    <s v="VT-0062"/>
    <x v="61"/>
    <x v="1"/>
    <x v="1"/>
    <x v="0"/>
    <x v="0"/>
    <s v="EL-2210"/>
    <n v="1"/>
    <s v="E003"/>
    <n v="1099"/>
    <s v="2025-08-24"/>
    <n v="1099"/>
    <s v="Debit Card"/>
    <x v="0"/>
  </r>
  <r>
    <s v="VT-0063"/>
    <x v="62"/>
    <x v="2"/>
    <x v="2"/>
    <x v="0"/>
    <x v="0"/>
    <s v="CL-1102"/>
    <n v="3"/>
    <s v="E004"/>
    <n v="89"/>
    <s v="2025-08-25"/>
    <n v="267"/>
    <s v="Credit Card"/>
    <x v="0"/>
  </r>
  <r>
    <s v="VT-0064"/>
    <x v="63"/>
    <x v="3"/>
    <x v="3"/>
    <x v="1"/>
    <x v="1"/>
    <s v="CL-1108"/>
    <n v="1"/>
    <s v="E005"/>
    <n v="79"/>
    <s v="2025-08-22"/>
    <n v="79"/>
    <s v="PayPal"/>
    <x v="0"/>
  </r>
  <r>
    <s v="VT-0065"/>
    <x v="64"/>
    <x v="4"/>
    <x v="4"/>
    <x v="1"/>
    <x v="1"/>
    <s v="CL-1120"/>
    <n v="2"/>
    <s v="E006"/>
    <n v="95"/>
    <s v="2025-09-08"/>
    <n v="190"/>
    <s v="Debit Card"/>
    <x v="0"/>
  </r>
  <r>
    <s v="VT-0066"/>
    <x v="65"/>
    <x v="5"/>
    <x v="5"/>
    <x v="1"/>
    <x v="2"/>
    <s v="HA-3301"/>
    <n v="1"/>
    <s v="E007"/>
    <n v="549"/>
    <s v="2025-09-10"/>
    <n v="549"/>
    <s v="Credit Card"/>
    <x v="1"/>
  </r>
  <r>
    <s v="VT-0067"/>
    <x v="66"/>
    <x v="6"/>
    <x v="6"/>
    <x v="2"/>
    <x v="2"/>
    <s v="HA-3305"/>
    <s v="1"/>
    <s v="E008"/>
    <n v="399"/>
    <s v="2025-09-15"/>
    <n v="399"/>
    <s v="PayPal"/>
    <x v="0"/>
  </r>
  <r>
    <s v="VT-0068"/>
    <x v="67"/>
    <x v="7"/>
    <x v="7"/>
    <x v="2"/>
    <x v="3"/>
    <s v="HA-3308"/>
    <n v="1"/>
    <s v="E009"/>
    <n v="129"/>
    <s v="2025-09-17"/>
    <n v="129"/>
    <s v="Debit Card"/>
    <x v="0"/>
  </r>
  <r>
    <s v="VT-0069"/>
    <x v="68"/>
    <x v="8"/>
    <x v="8"/>
    <x v="2"/>
    <x v="3"/>
    <s v="BE-4401"/>
    <n v="2"/>
    <s v="E010"/>
    <n v="42"/>
    <s v="2025-09-19"/>
    <n v="84"/>
    <s v="Credit Card"/>
    <x v="0"/>
  </r>
  <r>
    <s v="VT-0070"/>
    <x v="69"/>
    <x v="9"/>
    <x v="9"/>
    <x v="3"/>
    <x v="4"/>
    <s v="BE-4402"/>
    <n v="1"/>
    <s v="E001"/>
    <n v="125"/>
    <s v="2025-09-22"/>
    <n v="125"/>
    <s v="PayPal"/>
    <x v="0"/>
  </r>
  <r>
    <s v="VT-0071"/>
    <x v="70"/>
    <x v="0"/>
    <x v="0"/>
    <x v="3"/>
    <x v="4"/>
    <s v="BE-4408"/>
    <n v="2"/>
    <s v="E002"/>
    <n v="58"/>
    <s v="2025-09-26"/>
    <n v="116"/>
    <s v="Debit Card"/>
    <x v="0"/>
  </r>
  <r>
    <s v="VT-0072"/>
    <x v="71"/>
    <x v="1"/>
    <x v="1"/>
    <x v="0"/>
    <x v="0"/>
    <s v="SP-5501"/>
    <n v="1"/>
    <s v="E003"/>
    <n v="1495"/>
    <s v="2025-09-28"/>
    <n v="1495"/>
    <s v="Credit Card"/>
    <x v="0"/>
  </r>
  <r>
    <s v="VT-0073"/>
    <x v="72"/>
    <x v="2"/>
    <x v="2"/>
    <x v="0"/>
    <x v="0"/>
    <s v="SP-5505"/>
    <n v="3"/>
    <s v="E004"/>
    <n v="299"/>
    <s v="2025-10-07"/>
    <n v="897"/>
    <s v="PayPal"/>
    <x v="0"/>
  </r>
  <r>
    <s v="VT-0074"/>
    <x v="73"/>
    <x v="3"/>
    <x v="3"/>
    <x v="0"/>
    <x v="0"/>
    <s v="SP-5510"/>
    <n v="1"/>
    <s v="E005"/>
    <n v="249"/>
    <s v="2025-10-04"/>
    <n v="249"/>
    <s v="Debit Card"/>
    <x v="0"/>
  </r>
  <r>
    <s v="VT-0075"/>
    <x v="74"/>
    <x v="4"/>
    <x v="4"/>
    <x v="0"/>
    <x v="0"/>
    <s v="EL-2201"/>
    <n v="2"/>
    <s v="E006"/>
    <n v="999"/>
    <s v="2025-10-14"/>
    <n v="1998"/>
    <s v="Credit Card"/>
    <x v="0"/>
  </r>
  <r>
    <s v="VT-0076"/>
    <x v="75"/>
    <x v="5"/>
    <x v="5"/>
    <x v="1"/>
    <x v="1"/>
    <s v="EL-2205"/>
    <n v="1"/>
    <s v="E007"/>
    <n v="1299"/>
    <s v="2025-10-16"/>
    <n v="1299"/>
    <s v="PayPal"/>
    <x v="0"/>
  </r>
  <r>
    <s v="VT-0077"/>
    <x v="76"/>
    <x v="6"/>
    <x v="6"/>
    <x v="1"/>
    <x v="1"/>
    <s v="EL-2210"/>
    <s v="1"/>
    <s v="E008"/>
    <n v="1099"/>
    <s v="2025-10-21"/>
    <n v="1099"/>
    <s v="Debit Card"/>
    <x v="1"/>
  </r>
  <r>
    <s v="VT-0078"/>
    <x v="77"/>
    <x v="7"/>
    <x v="7"/>
    <x v="1"/>
    <x v="2"/>
    <s v="CL-1102"/>
    <n v="1"/>
    <s v="E009"/>
    <n v="89"/>
    <s v="2025-10-23"/>
    <n v="89"/>
    <s v="Credit Card"/>
    <x v="0"/>
  </r>
  <r>
    <s v="VT-0079"/>
    <x v="78"/>
    <x v="8"/>
    <x v="8"/>
    <x v="2"/>
    <x v="2"/>
    <s v="CL-1108"/>
    <n v="2"/>
    <s v="E010"/>
    <n v="79"/>
    <s v="2025-10-25"/>
    <n v="158"/>
    <s v="PayPal"/>
    <x v="0"/>
  </r>
  <r>
    <s v="VT-0080"/>
    <x v="79"/>
    <x v="9"/>
    <x v="9"/>
    <x v="2"/>
    <x v="3"/>
    <s v="CL-1120"/>
    <n v="1"/>
    <s v="E001"/>
    <n v="95"/>
    <s v="2025-10-28"/>
    <n v="95"/>
    <s v="Debit Card"/>
    <x v="0"/>
  </r>
  <r>
    <s v="VT-0081"/>
    <x v="80"/>
    <x v="0"/>
    <x v="0"/>
    <x v="2"/>
    <x v="3"/>
    <s v="HA-3301"/>
    <n v="2"/>
    <s v="E002"/>
    <n v="549"/>
    <s v="2025-11-08"/>
    <n v="1098"/>
    <s v="Credit Card"/>
    <x v="0"/>
  </r>
  <r>
    <s v="VT-0082"/>
    <x v="81"/>
    <x v="1"/>
    <x v="1"/>
    <x v="3"/>
    <x v="4"/>
    <s v="HA-3305"/>
    <n v="1"/>
    <s v="E003"/>
    <n v="399"/>
    <s v="2025-11-12"/>
    <n v="399"/>
    <s v="PayPal"/>
    <x v="0"/>
  </r>
  <r>
    <s v="VT-0083"/>
    <x v="82"/>
    <x v="2"/>
    <x v="2"/>
    <x v="3"/>
    <x v="4"/>
    <s v="HA-3308"/>
    <n v="3"/>
    <s v="E004"/>
    <n v="129"/>
    <s v="2025-11-13"/>
    <n v="387"/>
    <s v="Debit Card"/>
    <x v="0"/>
  </r>
  <r>
    <s v="VT-0084"/>
    <x v="83"/>
    <x v="3"/>
    <x v="3"/>
    <x v="0"/>
    <x v="0"/>
    <s v="BE-4401"/>
    <n v="1"/>
    <s v="E005"/>
    <n v="42"/>
    <s v="2025-11-10"/>
    <n v="42"/>
    <s v="Credit Card"/>
    <x v="0"/>
  </r>
  <r>
    <s v="VT-0085"/>
    <x v="84"/>
    <x v="4"/>
    <x v="4"/>
    <x v="0"/>
    <x v="0"/>
    <s v="BE-4402"/>
    <n v="2"/>
    <s v="E006"/>
    <n v="125"/>
    <s v="2025-11-20"/>
    <n v="250"/>
    <s v="PayPal"/>
    <x v="0"/>
  </r>
  <r>
    <s v="VT-0086"/>
    <x v="85"/>
    <x v="5"/>
    <x v="5"/>
    <x v="0"/>
    <x v="0"/>
    <s v="BE-4408"/>
    <n v="1"/>
    <s v="E007"/>
    <n v="58"/>
    <s v="2025-11-22"/>
    <n v="58"/>
    <s v="Debit Card"/>
    <x v="0"/>
  </r>
  <r>
    <s v="VT-0087"/>
    <x v="86"/>
    <x v="6"/>
    <x v="6"/>
    <x v="0"/>
    <x v="0"/>
    <s v="SP-5501"/>
    <s v="1"/>
    <s v="E008"/>
    <n v="1495"/>
    <s v="2025-11-27"/>
    <n v="1495"/>
    <s v="Credit Card"/>
    <x v="0"/>
  </r>
  <r>
    <s v="VT-0088"/>
    <x v="87"/>
    <x v="7"/>
    <x v="7"/>
    <x v="1"/>
    <x v="1"/>
    <s v="SP-5505"/>
    <n v="1"/>
    <s v="E009"/>
    <n v="299"/>
    <s v="2025-11-28"/>
    <n v="299"/>
    <s v="PayPal"/>
    <x v="1"/>
  </r>
  <r>
    <s v="VT-0089"/>
    <x v="88"/>
    <x v="8"/>
    <x v="8"/>
    <x v="1"/>
    <x v="1"/>
    <s v="SP-5510"/>
    <n v="2"/>
    <s v="E010"/>
    <n v="249"/>
    <s v="2025-12-07"/>
    <n v="498"/>
    <s v="Debit Card"/>
    <x v="0"/>
  </r>
  <r>
    <s v="VT-0090"/>
    <x v="89"/>
    <x v="9"/>
    <x v="9"/>
    <x v="1"/>
    <x v="2"/>
    <s v="EL-2201"/>
    <n v="1"/>
    <s v="E001"/>
    <n v="999"/>
    <s v="2025-12-10"/>
    <n v="999"/>
    <s v="Credit Card"/>
    <x v="0"/>
  </r>
  <r>
    <s v="VT-0091"/>
    <x v="90"/>
    <x v="0"/>
    <x v="0"/>
    <x v="2"/>
    <x v="2"/>
    <s v="EL-2205"/>
    <n v="2"/>
    <s v="E002"/>
    <n v="1299"/>
    <s v="2025-12-14"/>
    <n v="2598"/>
    <s v="PayPal"/>
    <x v="0"/>
  </r>
  <r>
    <s v="VT-0092"/>
    <x v="91"/>
    <x v="1"/>
    <x v="1"/>
    <x v="2"/>
    <x v="3"/>
    <s v="EL-2210"/>
    <n v="1"/>
    <s v="E003"/>
    <n v="1099"/>
    <s v="2025-12-18"/>
    <n v="1099"/>
    <s v="Debit Card"/>
    <x v="0"/>
  </r>
  <r>
    <s v="VT-0093"/>
    <x v="92"/>
    <x v="2"/>
    <x v="2"/>
    <x v="2"/>
    <x v="3"/>
    <s v="CL-1102"/>
    <n v="3"/>
    <s v="E004"/>
    <n v="89"/>
    <s v="2025-12-19"/>
    <n v="267"/>
    <s v="Credit Card"/>
    <x v="0"/>
  </r>
  <r>
    <s v="VT-0094"/>
    <x v="93"/>
    <x v="3"/>
    <x v="3"/>
    <x v="3"/>
    <x v="4"/>
    <s v="CL-1108"/>
    <n v="1"/>
    <s v="E005"/>
    <n v="79"/>
    <s v="2025-12-16"/>
    <n v="79"/>
    <s v="PayPal"/>
    <x v="0"/>
  </r>
  <r>
    <s v="VT-0095"/>
    <x v="94"/>
    <x v="4"/>
    <x v="4"/>
    <x v="3"/>
    <x v="4"/>
    <s v="CL-1120"/>
    <n v="2"/>
    <s v="E006"/>
    <n v="95"/>
    <s v="2025-12-26"/>
    <n v="190"/>
    <s v="Debit Card"/>
    <x v="0"/>
  </r>
  <r>
    <s v="VT-0096"/>
    <x v="95"/>
    <x v="5"/>
    <x v="5"/>
    <x v="0"/>
    <x v="0"/>
    <s v="HA-3301"/>
    <n v="1"/>
    <s v="E007"/>
    <n v="549"/>
    <s v="2025-12-28"/>
    <n v="549"/>
    <s v="Credit Card"/>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s v="E002"/>
    <s v="Sarah Connor"/>
    <s v="North"/>
    <s v="Electronics"/>
    <s v="EL-2205"/>
    <n v="2"/>
    <s v="E002"/>
    <n v="1299"/>
    <s v="2025-01-08"/>
    <n v="2598"/>
    <s v="PayPal"/>
    <s v="No"/>
  </r>
  <r>
    <x v="0"/>
    <s v="E003"/>
    <s v="Mike Johnson"/>
    <s v="North"/>
    <s v="Electronics"/>
    <s v="EL-2210"/>
    <n v="1"/>
    <s v="E003"/>
    <n v="1099"/>
    <s v="2025-01-12"/>
    <n v="1099"/>
    <s v="Debit Card"/>
    <s v="No"/>
  </r>
  <r>
    <x v="0"/>
    <s v="E004"/>
    <s v="Emily Davis"/>
    <s v="North"/>
    <s v="Electronics"/>
    <s v="CL-1102"/>
    <n v="3"/>
    <s v="E004"/>
    <n v="89"/>
    <s v="2025-01-13"/>
    <n v="267"/>
    <s v="Credit Card"/>
    <s v="No"/>
  </r>
  <r>
    <x v="0"/>
    <s v="E005"/>
    <s v="Robert Brown"/>
    <s v="South"/>
    <s v="Clothing"/>
    <s v="CL-1108"/>
    <n v="1"/>
    <s v="E005"/>
    <n v="79"/>
    <s v="2025-01-10"/>
    <n v="79"/>
    <s v="PayPal"/>
    <s v="No"/>
  </r>
  <r>
    <x v="0"/>
    <s v="E006"/>
    <s v="Lisa Martinez"/>
    <s v="South"/>
    <s v="Clothing"/>
    <s v="CL-1120"/>
    <n v="2"/>
    <s v="E006"/>
    <n v="95"/>
    <s v="2025-01-20"/>
    <n v="190"/>
    <s v="Debit Card"/>
    <s v="No"/>
  </r>
  <r>
    <x v="0"/>
    <s v="E007"/>
    <s v="David Lee"/>
    <s v="South"/>
    <s v="Home Appliances"/>
    <s v="HA-3301"/>
    <n v="1"/>
    <s v="E007"/>
    <n v="549"/>
    <s v="2025-01-22"/>
    <n v="549"/>
    <s v="Credit Card"/>
    <s v="No"/>
  </r>
  <r>
    <x v="0"/>
    <s v="E008"/>
    <s v="Jennifer Taylor"/>
    <s v="East"/>
    <s v="Home Appliances"/>
    <s v="HA-3305"/>
    <n v="1"/>
    <s v="E008"/>
    <n v="399"/>
    <s v="2025-01-27"/>
    <n v="399"/>
    <s v="PayPal"/>
    <s v="No"/>
  </r>
  <r>
    <x v="0"/>
    <s v="E009"/>
    <s v="Chris Anderson"/>
    <s v="East"/>
    <s v="Beauty"/>
    <s v="HA-3308"/>
    <n v="1"/>
    <s v="E009"/>
    <n v="129"/>
    <s v="2025-01-28"/>
    <n v="129"/>
    <s v="Debit Card"/>
    <s v="No"/>
  </r>
  <r>
    <x v="1"/>
    <s v="E010"/>
    <s v="Amanda Thomas"/>
    <s v="East"/>
    <s v="Beauty"/>
    <s v="BE-4401"/>
    <n v="2"/>
    <s v="E010"/>
    <n v="42"/>
    <s v="2025-02-07"/>
    <n v="84"/>
    <s v="Credit Card"/>
    <s v="No"/>
  </r>
  <r>
    <x v="1"/>
    <s v="E001"/>
    <s v="James Wilson"/>
    <s v="West"/>
    <s v="Sports"/>
    <s v="BE-4402"/>
    <n v="1"/>
    <s v="E001"/>
    <n v="125"/>
    <s v="2025-02-10"/>
    <n v="125"/>
    <s v="PayPal"/>
    <s v="No"/>
  </r>
  <r>
    <x v="1"/>
    <s v="E002"/>
    <s v="Sarah Connor"/>
    <s v="West"/>
    <s v="Sports"/>
    <s v="BE-4408"/>
    <n v="2"/>
    <s v="E002"/>
    <n v="58"/>
    <s v="2025-02-14"/>
    <n v="116"/>
    <s v="Debit Card"/>
    <s v="Yes"/>
  </r>
  <r>
    <x v="1"/>
    <s v="E003"/>
    <s v="Mike Johnson"/>
    <s v="North"/>
    <s v="Electronics"/>
    <s v="SP-5501"/>
    <n v="1"/>
    <s v="E003"/>
    <n v="1495"/>
    <s v="2025-02-18"/>
    <n v="1495"/>
    <s v="Credit Card"/>
    <s v="No"/>
  </r>
  <r>
    <x v="1"/>
    <s v="E004"/>
    <s v="Emily Davis"/>
    <s v="North"/>
    <s v="Electronics"/>
    <s v="SP-5505"/>
    <n v="3"/>
    <s v="E004"/>
    <n v="299"/>
    <s v="2025-02-19"/>
    <n v="897"/>
    <s v="PayPal"/>
    <s v="No"/>
  </r>
  <r>
    <x v="1"/>
    <s v="E005"/>
    <s v="Robert Brown"/>
    <s v="North"/>
    <s v="Electronics"/>
    <s v="SP-5510"/>
    <n v="1"/>
    <s v="E005"/>
    <n v="249"/>
    <s v="2025-02-16"/>
    <n v="249"/>
    <s v="Debit Card"/>
    <s v="No"/>
  </r>
  <r>
    <x v="1"/>
    <s v="E006"/>
    <s v="Lisa Martinez"/>
    <s v="North"/>
    <s v="Electronics"/>
    <s v="EL-2201"/>
    <n v="2"/>
    <s v="E006"/>
    <n v="999"/>
    <s v="2025-02-26"/>
    <n v="1998"/>
    <s v="Credit Card"/>
    <s v="No"/>
  </r>
  <r>
    <x v="1"/>
    <s v="E007"/>
    <s v="David Lee"/>
    <s v="South"/>
    <s v="Clothing"/>
    <s v="EL-2205"/>
    <n v="1"/>
    <s v="E007"/>
    <n v="1299"/>
    <s v="2025-02-28"/>
    <n v="1299"/>
    <s v="PayPal"/>
    <s v="No"/>
  </r>
  <r>
    <x v="2"/>
    <s v="E008"/>
    <s v="Jennifer Taylor"/>
    <s v="South"/>
    <s v="Clothing"/>
    <s v="EL-2210"/>
    <s v="1"/>
    <s v="E008"/>
    <n v="1099"/>
    <s v="2025-03-09"/>
    <n v="1099"/>
    <s v="Debit Card"/>
    <s v="No"/>
  </r>
  <r>
    <x v="2"/>
    <s v="E009"/>
    <s v="Chris Anderson"/>
    <s v="South"/>
    <s v="Home Appliances"/>
    <s v="CL-1102"/>
    <n v="1"/>
    <s v="E009"/>
    <n v="89"/>
    <s v="2025-03-11"/>
    <n v="89"/>
    <s v="Credit Card"/>
    <s v="No"/>
  </r>
  <r>
    <x v="2"/>
    <s v="E010"/>
    <s v="Amanda Thomas"/>
    <s v="East"/>
    <s v="Home Appliances"/>
    <s v="CL-1108"/>
    <n v="2"/>
    <s v="E010"/>
    <n v="79"/>
    <s v="2025-03-13"/>
    <n v="158"/>
    <s v="PayPal"/>
    <s v="No"/>
  </r>
  <r>
    <x v="2"/>
    <s v="E001"/>
    <s v="James Wilson"/>
    <s v="East"/>
    <s v="Beauty"/>
    <s v="CL-1120"/>
    <n v="1"/>
    <s v="E001"/>
    <n v="95"/>
    <s v="2025-03-16"/>
    <n v="95"/>
    <s v="Debit Card"/>
    <s v="No"/>
  </r>
  <r>
    <x v="2"/>
    <s v="E002"/>
    <s v="Sarah Connor"/>
    <s v="East"/>
    <s v="Beauty"/>
    <s v="HA-3301"/>
    <n v="2"/>
    <s v="E002"/>
    <n v="549"/>
    <s v="2025-03-20"/>
    <n v="1098"/>
    <s v="Credit Card"/>
    <s v="No"/>
  </r>
  <r>
    <x v="2"/>
    <s v="E003"/>
    <s v="Mike Johnson"/>
    <s v="West"/>
    <s v="Sports"/>
    <s v="HA-3305"/>
    <n v="1"/>
    <s v="E003"/>
    <n v="399"/>
    <s v="2025-03-24"/>
    <n v="399"/>
    <s v="PayPal"/>
    <s v="Yes"/>
  </r>
  <r>
    <x v="2"/>
    <s v="E004"/>
    <s v="Emily Davis"/>
    <s v="West"/>
    <s v="Sports"/>
    <s v="HA-3308"/>
    <n v="3"/>
    <s v="E004"/>
    <n v="129"/>
    <s v="2025-03-25"/>
    <n v="387"/>
    <s v="Debit Card"/>
    <s v="No"/>
  </r>
  <r>
    <x v="2"/>
    <s v="E005"/>
    <s v="Robert Brown"/>
    <s v="North"/>
    <s v="Electronics"/>
    <s v="BE-4401"/>
    <n v="1"/>
    <s v="E005"/>
    <n v="42"/>
    <s v="2025-03-22"/>
    <n v="42"/>
    <s v="Credit Card"/>
    <s v="No"/>
  </r>
  <r>
    <x v="3"/>
    <s v="E006"/>
    <s v="Lisa Martinez"/>
    <s v="North"/>
    <s v="Electronics"/>
    <s v="BE-4402"/>
    <n v="2"/>
    <s v="E006"/>
    <n v="125"/>
    <s v="2025-04-08"/>
    <n v="250"/>
    <s v="PayPal"/>
    <s v="No"/>
  </r>
  <r>
    <x v="3"/>
    <s v="E007"/>
    <s v="David Lee"/>
    <s v="North"/>
    <s v="Electronics"/>
    <s v="BE-4408"/>
    <n v="1"/>
    <s v="E007"/>
    <n v="58"/>
    <s v="2025-04-10"/>
    <n v="58"/>
    <s v="Debit Card"/>
    <s v="No"/>
  </r>
  <r>
    <x v="3"/>
    <s v="E008"/>
    <s v="Jennifer Taylor"/>
    <s v="North"/>
    <s v="Electronics"/>
    <s v="SP-5501"/>
    <s v="1"/>
    <s v="E008"/>
    <n v="1495"/>
    <s v="2025-04-15"/>
    <n v="1495"/>
    <s v="Credit Card"/>
    <s v="No"/>
  </r>
  <r>
    <x v="3"/>
    <s v="E009"/>
    <s v="Chris Anderson"/>
    <s v="South"/>
    <s v="Clothing"/>
    <s v="SP-5505"/>
    <n v="1"/>
    <s v="E009"/>
    <n v="299"/>
    <s v="2025-04-17"/>
    <n v="299"/>
    <s v="PayPal"/>
    <s v="No"/>
  </r>
  <r>
    <x v="3"/>
    <s v="E010"/>
    <s v="Amanda Thomas"/>
    <s v="South"/>
    <s v="Clothing"/>
    <s v="SP-5510"/>
    <n v="2"/>
    <s v="E010"/>
    <n v="249"/>
    <s v="2025-04-19"/>
    <n v="498"/>
    <s v="Debit Card"/>
    <s v="No"/>
  </r>
  <r>
    <x v="3"/>
    <s v="E001"/>
    <s v="James Wilson"/>
    <s v="South"/>
    <s v="Home Appliances"/>
    <s v="EL-2201"/>
    <n v="1"/>
    <s v="E001"/>
    <n v="999"/>
    <s v="2025-04-22"/>
    <n v="999"/>
    <s v="Credit Card"/>
    <s v="No"/>
  </r>
  <r>
    <x v="3"/>
    <s v="E002"/>
    <s v="Sarah Connor"/>
    <s v="East"/>
    <s v="Home Appliances"/>
    <s v="EL-2205"/>
    <n v="2"/>
    <s v="E002"/>
    <n v="1299"/>
    <s v="2025-04-26"/>
    <n v="2598"/>
    <s v="PayPal"/>
    <s v="No"/>
  </r>
  <r>
    <x v="3"/>
    <s v="E003"/>
    <s v="Mike Johnson"/>
    <s v="East"/>
    <s v="Beauty"/>
    <s v="EL-2210"/>
    <n v="1"/>
    <s v="E003"/>
    <n v="1099"/>
    <s v="2025-04-28"/>
    <n v="1099"/>
    <s v="Debit Card"/>
    <s v="No"/>
  </r>
  <r>
    <x v="4"/>
    <s v="E004"/>
    <s v="Emily Davis"/>
    <s v="East"/>
    <s v="Beauty"/>
    <s v="CL-1102"/>
    <n v="3"/>
    <s v="E004"/>
    <n v="89"/>
    <s v="2025-05-07"/>
    <n v="267"/>
    <s v="Credit Card"/>
    <s v="Yes"/>
  </r>
  <r>
    <x v="4"/>
    <s v="E005"/>
    <s v="Robert Brown"/>
    <s v="West"/>
    <s v="Sports"/>
    <s v="CL-1108"/>
    <n v="1"/>
    <s v="E005"/>
    <n v="79"/>
    <s v="2025-05-04"/>
    <n v="79"/>
    <s v="PayPal"/>
    <s v="No"/>
  </r>
  <r>
    <x v="4"/>
    <s v="E006"/>
    <s v="Lisa Martinez"/>
    <s v="West"/>
    <s v="Sports"/>
    <s v="CL-1120"/>
    <n v="2"/>
    <s v="E006"/>
    <n v="95"/>
    <s v="2025-05-14"/>
    <n v="190"/>
    <s v="Debit Card"/>
    <s v="No"/>
  </r>
  <r>
    <x v="4"/>
    <s v="E007"/>
    <s v="David Lee"/>
    <s v="North"/>
    <s v="Electronics"/>
    <s v="HA-3301"/>
    <n v="1"/>
    <s v="E007"/>
    <n v="549"/>
    <s v="2025-05-16"/>
    <n v="549"/>
    <s v="Credit Card"/>
    <s v="No"/>
  </r>
  <r>
    <x v="4"/>
    <s v="E008"/>
    <s v="Jennifer Taylor"/>
    <s v="North"/>
    <s v="Electronics"/>
    <s v="HA-3305"/>
    <s v="1"/>
    <s v="E008"/>
    <n v="399"/>
    <s v="2025-05-21"/>
    <n v="399"/>
    <s v="PayPal"/>
    <s v="No"/>
  </r>
  <r>
    <x v="4"/>
    <s v="E009"/>
    <s v="Chris Anderson"/>
    <s v="North"/>
    <s v="Electronics"/>
    <s v="HA-3308"/>
    <n v="1"/>
    <s v="E009"/>
    <n v="129"/>
    <s v="2025-05-23"/>
    <n v="129"/>
    <s v="Debit Card"/>
    <s v="No"/>
  </r>
  <r>
    <x v="4"/>
    <s v="E010"/>
    <s v="Amanda Thomas"/>
    <s v="North"/>
    <s v="Electronics"/>
    <s v="BE-4401"/>
    <n v="2"/>
    <s v="E010"/>
    <n v="42"/>
    <s v="2025-05-25"/>
    <n v="84"/>
    <s v="Credit Card"/>
    <s v="No"/>
  </r>
  <r>
    <x v="4"/>
    <s v="E001"/>
    <s v="James Wilson"/>
    <s v="South"/>
    <s v="Clothing"/>
    <s v="BE-4402"/>
    <n v="1"/>
    <s v="E001"/>
    <n v="125"/>
    <s v="2025-05-28"/>
    <n v="125"/>
    <s v="PayPal"/>
    <s v="No"/>
  </r>
  <r>
    <x v="5"/>
    <s v="E002"/>
    <s v="Sarah Connor"/>
    <s v="South"/>
    <s v="Clothing"/>
    <s v="BE-4408"/>
    <n v="2"/>
    <s v="E002"/>
    <n v="58"/>
    <s v="2025-06-08"/>
    <n v="116"/>
    <s v="Debit Card"/>
    <s v="No"/>
  </r>
  <r>
    <x v="5"/>
    <s v="E003"/>
    <s v="Mike Johnson"/>
    <s v="South"/>
    <s v="Home Appliances"/>
    <s v="SP-5501"/>
    <n v="1"/>
    <s v="E003"/>
    <n v="1495"/>
    <s v="2025-06-12"/>
    <n v="1495"/>
    <s v="Credit Card"/>
    <s v="No"/>
  </r>
  <r>
    <x v="5"/>
    <s v="E004"/>
    <s v="Emily Davis"/>
    <s v="East"/>
    <s v="Home Appliances"/>
    <s v="SP-5505"/>
    <n v="3"/>
    <s v="E004"/>
    <n v="299"/>
    <s v="2025-06-13"/>
    <n v="897"/>
    <s v="PayPal"/>
    <s v="No"/>
  </r>
  <r>
    <x v="5"/>
    <s v="E005"/>
    <s v="Robert Brown"/>
    <s v="East"/>
    <s v="Beauty"/>
    <s v="SP-5510"/>
    <n v="1"/>
    <s v="E005"/>
    <n v="249"/>
    <s v="2025-06-10"/>
    <n v="249"/>
    <s v="Debit Card"/>
    <s v="Yes"/>
  </r>
  <r>
    <x v="5"/>
    <s v="E006"/>
    <s v="Lisa Martinez"/>
    <s v="East"/>
    <s v="Beauty"/>
    <s v="EL-2201"/>
    <n v="2"/>
    <s v="E006"/>
    <n v="999"/>
    <s v="2025-06-20"/>
    <n v="1998"/>
    <s v="Credit Card"/>
    <s v="No"/>
  </r>
  <r>
    <x v="5"/>
    <s v="E007"/>
    <s v="David Lee"/>
    <s v="West"/>
    <s v="Sports"/>
    <s v="EL-2205"/>
    <n v="1"/>
    <s v="E007"/>
    <n v="1299"/>
    <s v="2025-06-22"/>
    <n v="1299"/>
    <s v="PayPal"/>
    <s v="No"/>
  </r>
  <r>
    <x v="5"/>
    <s v="E008"/>
    <s v="Jennifer Taylor"/>
    <s v="West"/>
    <s v="Sports"/>
    <s v="EL-2210"/>
    <s v="1"/>
    <s v="E008"/>
    <n v="1099"/>
    <s v="2025-06-27"/>
    <n v="1099"/>
    <s v="Debit Card"/>
    <s v="No"/>
  </r>
  <r>
    <x v="5"/>
    <s v="E009"/>
    <s v="Chris Anderson"/>
    <s v="North"/>
    <s v="Electronics"/>
    <s v="CL-1102"/>
    <n v="1"/>
    <s v="E009"/>
    <n v="89"/>
    <s v="2025-06-28"/>
    <n v="89"/>
    <s v="Credit Card"/>
    <s v="No"/>
  </r>
  <r>
    <x v="6"/>
    <s v="E010"/>
    <s v="Amanda Thomas"/>
    <s v="North"/>
    <s v="Electronics"/>
    <s v="CL-1108"/>
    <n v="2"/>
    <s v="E010"/>
    <n v="79"/>
    <s v="2025-07-07"/>
    <n v="158"/>
    <s v="PayPal"/>
    <s v="No"/>
  </r>
  <r>
    <x v="6"/>
    <s v="E001"/>
    <s v="James Wilson"/>
    <s v="North"/>
    <s v="Electronics"/>
    <s v="CL-1120"/>
    <n v="1"/>
    <s v="E001"/>
    <n v="95"/>
    <s v="2025-07-10"/>
    <n v="95"/>
    <s v="Debit Card"/>
    <s v="No"/>
  </r>
  <r>
    <x v="6"/>
    <s v="E002"/>
    <s v="Sarah Connor"/>
    <s v="North"/>
    <s v="Electronics"/>
    <s v="HA-3301"/>
    <n v="2"/>
    <s v="E002"/>
    <n v="549"/>
    <s v="2025-07-14"/>
    <n v="1098"/>
    <s v="Credit Card"/>
    <s v="No"/>
  </r>
  <r>
    <x v="6"/>
    <s v="E003"/>
    <s v="Mike Johnson"/>
    <s v="South"/>
    <s v="Clothing"/>
    <s v="HA-3305"/>
    <n v="1"/>
    <s v="E003"/>
    <n v="399"/>
    <s v="2025-07-18"/>
    <n v="399"/>
    <s v="PayPal"/>
    <s v="No"/>
  </r>
  <r>
    <x v="6"/>
    <s v="E004"/>
    <s v="Emily Davis"/>
    <s v="South"/>
    <s v="Clothing"/>
    <s v="HA-3308"/>
    <n v="3"/>
    <s v="E004"/>
    <n v="129"/>
    <s v="2025-07-19"/>
    <n v="387"/>
    <s v="Debit Card"/>
    <s v="No"/>
  </r>
  <r>
    <x v="6"/>
    <s v="E005"/>
    <s v="Robert Brown"/>
    <s v="South"/>
    <s v="Home Appliances"/>
    <s v="BE-4401"/>
    <n v="1"/>
    <s v="E005"/>
    <n v="42"/>
    <s v="2025-07-16"/>
    <n v="42"/>
    <s v="Credit Card"/>
    <s v="No"/>
  </r>
  <r>
    <x v="6"/>
    <s v="E006"/>
    <s v="Lisa Martinez"/>
    <s v="East"/>
    <s v="Home Appliances"/>
    <s v="BE-4402"/>
    <n v="2"/>
    <s v="E006"/>
    <n v="125"/>
    <s v="2025-07-26"/>
    <n v="250"/>
    <s v="PayPal"/>
    <s v="Yes"/>
  </r>
  <r>
    <x v="6"/>
    <s v="E007"/>
    <s v="David Lee"/>
    <s v="East"/>
    <s v="Beauty"/>
    <s v="BE-4408"/>
    <n v="1"/>
    <s v="E007"/>
    <n v="58"/>
    <s v="2025-07-28"/>
    <n v="58"/>
    <s v="Debit Card"/>
    <s v="No"/>
  </r>
  <r>
    <x v="7"/>
    <s v="E008"/>
    <s v="Jennifer Taylor"/>
    <s v="East"/>
    <s v="Beauty"/>
    <s v="SP-5501"/>
    <s v="1"/>
    <s v="E008"/>
    <n v="1495"/>
    <s v="2025-08-09"/>
    <n v="1495"/>
    <s v="Credit Card"/>
    <s v="No"/>
  </r>
  <r>
    <x v="7"/>
    <s v="E009"/>
    <s v="Chris Anderson"/>
    <s v="West"/>
    <s v="Sports"/>
    <s v="SP-5505"/>
    <n v="1"/>
    <s v="E009"/>
    <n v="299"/>
    <s v="2025-08-11"/>
    <n v="299"/>
    <s v="PayPal"/>
    <s v="No"/>
  </r>
  <r>
    <x v="7"/>
    <s v="E010"/>
    <s v="Amanda Thomas"/>
    <s v="West"/>
    <s v="Sports"/>
    <s v="SP-5510"/>
    <n v="2"/>
    <s v="E010"/>
    <n v="249"/>
    <s v="2025-08-13"/>
    <n v="498"/>
    <s v="Debit Card"/>
    <s v="No"/>
  </r>
  <r>
    <x v="7"/>
    <s v="E001"/>
    <s v="James Wilson"/>
    <s v="North"/>
    <s v="Electronics"/>
    <s v="EL-2201"/>
    <n v="1"/>
    <s v="E001"/>
    <n v="999"/>
    <s v="2025-08-16"/>
    <n v="999"/>
    <s v="Credit Card"/>
    <s v="No"/>
  </r>
  <r>
    <x v="7"/>
    <s v="E002"/>
    <s v="Sarah Connor"/>
    <s v="North"/>
    <s v="Electronics"/>
    <s v="EL-2205"/>
    <n v="2"/>
    <s v="E002"/>
    <n v="1299"/>
    <s v="2025-08-20"/>
    <n v="2598"/>
    <s v="PayPal"/>
    <s v="No"/>
  </r>
  <r>
    <x v="7"/>
    <s v="E003"/>
    <s v="Mike Johnson"/>
    <s v="North"/>
    <s v="Electronics"/>
    <s v="EL-2210"/>
    <n v="1"/>
    <s v="E003"/>
    <n v="1099"/>
    <s v="2025-08-24"/>
    <n v="1099"/>
    <s v="Debit Card"/>
    <s v="No"/>
  </r>
  <r>
    <x v="7"/>
    <s v="E004"/>
    <s v="Emily Davis"/>
    <s v="North"/>
    <s v="Electronics"/>
    <s v="CL-1102"/>
    <n v="3"/>
    <s v="E004"/>
    <n v="89"/>
    <s v="2025-08-25"/>
    <n v="267"/>
    <s v="Credit Card"/>
    <s v="No"/>
  </r>
  <r>
    <x v="7"/>
    <s v="E005"/>
    <s v="Robert Brown"/>
    <s v="South"/>
    <s v="Clothing"/>
    <s v="CL-1108"/>
    <n v="1"/>
    <s v="E005"/>
    <n v="79"/>
    <s v="2025-08-22"/>
    <n v="79"/>
    <s v="PayPal"/>
    <s v="No"/>
  </r>
  <r>
    <x v="8"/>
    <s v="E006"/>
    <s v="Lisa Martinez"/>
    <s v="South"/>
    <s v="Clothing"/>
    <s v="CL-1120"/>
    <n v="2"/>
    <s v="E006"/>
    <n v="95"/>
    <s v="2025-09-08"/>
    <n v="190"/>
    <s v="Debit Card"/>
    <s v="No"/>
  </r>
  <r>
    <x v="8"/>
    <s v="E007"/>
    <s v="David Lee"/>
    <s v="South"/>
    <s v="Home Appliances"/>
    <s v="HA-3301"/>
    <n v="1"/>
    <s v="E007"/>
    <n v="549"/>
    <s v="2025-09-10"/>
    <n v="549"/>
    <s v="Credit Card"/>
    <s v="Yes"/>
  </r>
  <r>
    <x v="8"/>
    <s v="E008"/>
    <s v="Jennifer Taylor"/>
    <s v="East"/>
    <s v="Home Appliances"/>
    <s v="HA-3305"/>
    <s v="1"/>
    <s v="E008"/>
    <n v="399"/>
    <s v="2025-09-15"/>
    <n v="399"/>
    <s v="PayPal"/>
    <s v="No"/>
  </r>
  <r>
    <x v="8"/>
    <s v="E009"/>
    <s v="Chris Anderson"/>
    <s v="East"/>
    <s v="Beauty"/>
    <s v="HA-3308"/>
    <n v="1"/>
    <s v="E009"/>
    <n v="129"/>
    <s v="2025-09-17"/>
    <n v="129"/>
    <s v="Debit Card"/>
    <s v="No"/>
  </r>
  <r>
    <x v="8"/>
    <s v="E010"/>
    <s v="Amanda Thomas"/>
    <s v="East"/>
    <s v="Beauty"/>
    <s v="BE-4401"/>
    <n v="2"/>
    <s v="E010"/>
    <n v="42"/>
    <s v="2025-09-19"/>
    <n v="84"/>
    <s v="Credit Card"/>
    <s v="No"/>
  </r>
  <r>
    <x v="8"/>
    <s v="E001"/>
    <s v="James Wilson"/>
    <s v="West"/>
    <s v="Sports"/>
    <s v="BE-4402"/>
    <n v="1"/>
    <s v="E001"/>
    <n v="125"/>
    <s v="2025-09-22"/>
    <n v="125"/>
    <s v="PayPal"/>
    <s v="No"/>
  </r>
  <r>
    <x v="8"/>
    <s v="E002"/>
    <s v="Sarah Connor"/>
    <s v="West"/>
    <s v="Sports"/>
    <s v="BE-4408"/>
    <n v="2"/>
    <s v="E002"/>
    <n v="58"/>
    <s v="2025-09-26"/>
    <n v="116"/>
    <s v="Debit Card"/>
    <s v="No"/>
  </r>
  <r>
    <x v="8"/>
    <s v="E003"/>
    <s v="Mike Johnson"/>
    <s v="North"/>
    <s v="Electronics"/>
    <s v="SP-5501"/>
    <n v="1"/>
    <s v="E003"/>
    <n v="1495"/>
    <s v="2025-09-28"/>
    <n v="1495"/>
    <s v="Credit Card"/>
    <s v="No"/>
  </r>
  <r>
    <x v="9"/>
    <s v="E004"/>
    <s v="Emily Davis"/>
    <s v="North"/>
    <s v="Electronics"/>
    <s v="SP-5505"/>
    <n v="3"/>
    <s v="E004"/>
    <n v="299"/>
    <s v="2025-10-07"/>
    <n v="897"/>
    <s v="PayPal"/>
    <s v="No"/>
  </r>
  <r>
    <x v="9"/>
    <s v="E005"/>
    <s v="Robert Brown"/>
    <s v="North"/>
    <s v="Electronics"/>
    <s v="SP-5510"/>
    <n v="1"/>
    <s v="E005"/>
    <n v="249"/>
    <s v="2025-10-04"/>
    <n v="249"/>
    <s v="Debit Card"/>
    <s v="No"/>
  </r>
  <r>
    <x v="9"/>
    <s v="E006"/>
    <s v="Lisa Martinez"/>
    <s v="North"/>
    <s v="Electronics"/>
    <s v="EL-2201"/>
    <n v="2"/>
    <s v="E006"/>
    <n v="999"/>
    <s v="2025-10-14"/>
    <n v="1998"/>
    <s v="Credit Card"/>
    <s v="No"/>
  </r>
  <r>
    <x v="9"/>
    <s v="E007"/>
    <s v="David Lee"/>
    <s v="South"/>
    <s v="Clothing"/>
    <s v="EL-2205"/>
    <n v="1"/>
    <s v="E007"/>
    <n v="1299"/>
    <s v="2025-10-16"/>
    <n v="1299"/>
    <s v="PayPal"/>
    <s v="No"/>
  </r>
  <r>
    <x v="9"/>
    <s v="E008"/>
    <s v="Jennifer Taylor"/>
    <s v="South"/>
    <s v="Clothing"/>
    <s v="EL-2210"/>
    <s v="1"/>
    <s v="E008"/>
    <n v="1099"/>
    <s v="2025-10-21"/>
    <n v="1099"/>
    <s v="Debit Card"/>
    <s v="Yes"/>
  </r>
  <r>
    <x v="9"/>
    <s v="E009"/>
    <s v="Chris Anderson"/>
    <s v="South"/>
    <s v="Home Appliances"/>
    <s v="CL-1102"/>
    <n v="1"/>
    <s v="E009"/>
    <n v="89"/>
    <s v="2025-10-23"/>
    <n v="89"/>
    <s v="Credit Card"/>
    <s v="No"/>
  </r>
  <r>
    <x v="9"/>
    <s v="E010"/>
    <s v="Amanda Thomas"/>
    <s v="East"/>
    <s v="Home Appliances"/>
    <s v="CL-1108"/>
    <n v="2"/>
    <s v="E010"/>
    <n v="79"/>
    <s v="2025-10-25"/>
    <n v="158"/>
    <s v="PayPal"/>
    <s v="No"/>
  </r>
  <r>
    <x v="9"/>
    <s v="E001"/>
    <s v="James Wilson"/>
    <s v="East"/>
    <s v="Beauty"/>
    <s v="CL-1120"/>
    <n v="1"/>
    <s v="E001"/>
    <n v="95"/>
    <s v="2025-10-28"/>
    <n v="95"/>
    <s v="Debit Card"/>
    <s v="No"/>
  </r>
  <r>
    <x v="10"/>
    <s v="E002"/>
    <s v="Sarah Connor"/>
    <s v="East"/>
    <s v="Beauty"/>
    <s v="HA-3301"/>
    <n v="2"/>
    <s v="E002"/>
    <n v="549"/>
    <s v="2025-11-08"/>
    <n v="1098"/>
    <s v="Credit Card"/>
    <s v="No"/>
  </r>
  <r>
    <x v="10"/>
    <s v="E003"/>
    <s v="Mike Johnson"/>
    <s v="West"/>
    <s v="Sports"/>
    <s v="HA-3305"/>
    <n v="1"/>
    <s v="E003"/>
    <n v="399"/>
    <s v="2025-11-12"/>
    <n v="399"/>
    <s v="PayPal"/>
    <s v="No"/>
  </r>
  <r>
    <x v="10"/>
    <s v="E004"/>
    <s v="Emily Davis"/>
    <s v="West"/>
    <s v="Sports"/>
    <s v="HA-3308"/>
    <n v="3"/>
    <s v="E004"/>
    <n v="129"/>
    <s v="2025-11-13"/>
    <n v="387"/>
    <s v="Debit Card"/>
    <s v="No"/>
  </r>
  <r>
    <x v="10"/>
    <s v="E005"/>
    <s v="Robert Brown"/>
    <s v="North"/>
    <s v="Electronics"/>
    <s v="BE-4401"/>
    <n v="1"/>
    <s v="E005"/>
    <n v="42"/>
    <s v="2025-11-10"/>
    <n v="42"/>
    <s v="Credit Card"/>
    <s v="No"/>
  </r>
  <r>
    <x v="10"/>
    <s v="E006"/>
    <s v="Lisa Martinez"/>
    <s v="North"/>
    <s v="Electronics"/>
    <s v="BE-4402"/>
    <n v="2"/>
    <s v="E006"/>
    <n v="125"/>
    <s v="2025-11-20"/>
    <n v="250"/>
    <s v="PayPal"/>
    <s v="No"/>
  </r>
  <r>
    <x v="10"/>
    <s v="E007"/>
    <s v="David Lee"/>
    <s v="North"/>
    <s v="Electronics"/>
    <s v="BE-4408"/>
    <n v="1"/>
    <s v="E007"/>
    <n v="58"/>
    <s v="2025-11-22"/>
    <n v="58"/>
    <s v="Debit Card"/>
    <s v="No"/>
  </r>
  <r>
    <x v="10"/>
    <s v="E008"/>
    <s v="Jennifer Taylor"/>
    <s v="North"/>
    <s v="Electronics"/>
    <s v="SP-5501"/>
    <s v="1"/>
    <s v="E008"/>
    <n v="1495"/>
    <s v="2025-11-27"/>
    <n v="1495"/>
    <s v="Credit Card"/>
    <s v="No"/>
  </r>
  <r>
    <x v="10"/>
    <s v="E009"/>
    <s v="Chris Anderson"/>
    <s v="South"/>
    <s v="Clothing"/>
    <s v="SP-5505"/>
    <n v="1"/>
    <s v="E009"/>
    <n v="299"/>
    <s v="2025-11-28"/>
    <n v="299"/>
    <s v="PayPal"/>
    <s v="Yes"/>
  </r>
  <r>
    <x v="11"/>
    <s v="E010"/>
    <s v="Amanda Thomas"/>
    <s v="South"/>
    <s v="Clothing"/>
    <s v="SP-5510"/>
    <n v="2"/>
    <s v="E010"/>
    <n v="249"/>
    <s v="2025-12-07"/>
    <n v="498"/>
    <s v="Debit Card"/>
    <s v="No"/>
  </r>
  <r>
    <x v="11"/>
    <s v="E001"/>
    <s v="James Wilson"/>
    <s v="South"/>
    <s v="Home Appliances"/>
    <s v="EL-2201"/>
    <n v="1"/>
    <s v="E001"/>
    <n v="999"/>
    <s v="2025-12-10"/>
    <n v="999"/>
    <s v="Credit Card"/>
    <s v="No"/>
  </r>
  <r>
    <x v="11"/>
    <s v="E002"/>
    <s v="Sarah Connor"/>
    <s v="East"/>
    <s v="Home Appliances"/>
    <s v="EL-2205"/>
    <n v="2"/>
    <s v="E002"/>
    <n v="1299"/>
    <s v="2025-12-14"/>
    <n v="2598"/>
    <s v="PayPal"/>
    <s v="No"/>
  </r>
  <r>
    <x v="11"/>
    <s v="E003"/>
    <s v="Mike Johnson"/>
    <s v="East"/>
    <s v="Beauty"/>
    <s v="EL-2210"/>
    <n v="1"/>
    <s v="E003"/>
    <n v="1099"/>
    <s v="2025-12-18"/>
    <n v="1099"/>
    <s v="Debit Card"/>
    <s v="No"/>
  </r>
  <r>
    <x v="11"/>
    <s v="E004"/>
    <s v="Emily Davis"/>
    <s v="East"/>
    <s v="Beauty"/>
    <s v="CL-1102"/>
    <n v="3"/>
    <s v="E004"/>
    <n v="89"/>
    <s v="2025-12-19"/>
    <n v="267"/>
    <s v="Credit Card"/>
    <s v="No"/>
  </r>
  <r>
    <x v="11"/>
    <s v="E005"/>
    <s v="Robert Brown"/>
    <s v="West"/>
    <s v="Sports"/>
    <s v="CL-1108"/>
    <n v="1"/>
    <s v="E005"/>
    <n v="79"/>
    <s v="2025-12-16"/>
    <n v="79"/>
    <s v="PayPal"/>
    <s v="No"/>
  </r>
  <r>
    <x v="11"/>
    <s v="E006"/>
    <s v="Lisa Martinez"/>
    <s v="West"/>
    <s v="Sports"/>
    <s v="CL-1120"/>
    <n v="2"/>
    <s v="E006"/>
    <n v="95"/>
    <s v="2025-12-26"/>
    <n v="190"/>
    <s v="Debit Card"/>
    <s v="No"/>
  </r>
  <r>
    <x v="11"/>
    <s v="E007"/>
    <s v="David Lee"/>
    <s v="North"/>
    <s v="Electronics"/>
    <s v="HA-3301"/>
    <n v="1"/>
    <s v="E007"/>
    <n v="549"/>
    <s v="2025-12-28"/>
    <n v="549"/>
    <s v="Credit Card"/>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F3143E-EF26-41D0-A6CD-257244C9E7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4" firstHeaderRow="1" firstDataRow="1" firstDataCol="1"/>
  <pivotFields count="14">
    <pivotField showAll="0"/>
    <pivotField showAll="0"/>
    <pivotField showAll="0"/>
    <pivotField axis="axisRow" showAll="0">
      <items count="11">
        <item x="8"/>
        <item x="7"/>
        <item x="5"/>
        <item x="2"/>
        <item x="9"/>
        <item x="6"/>
        <item x="4"/>
        <item x="1"/>
        <item x="3"/>
        <item x="0"/>
        <item t="default"/>
      </items>
    </pivotField>
    <pivotField showAll="0"/>
    <pivotField showAll="0"/>
    <pivotField showAll="0"/>
    <pivotField showAll="0"/>
    <pivotField showAll="0"/>
    <pivotField showAll="0"/>
    <pivotField showAll="0"/>
    <pivotField dataField="1" numFmtId="165"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201845-2746-47F0-BC7B-11DE6A316D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D9" firstHeaderRow="1" firstDataRow="1" firstDataCol="1"/>
  <pivotFields count="14">
    <pivotField showAll="0"/>
    <pivotField showAll="0"/>
    <pivotField showAll="0"/>
    <pivotField showAll="0"/>
    <pivotField showAll="0"/>
    <pivotField axis="axisRow" showAll="0" sortType="descending">
      <items count="6">
        <item x="4"/>
        <item x="2"/>
        <item x="0"/>
        <item x="1"/>
        <item x="3"/>
        <item t="default"/>
      </items>
    </pivotField>
    <pivotField showAll="0"/>
    <pivotField showAll="0"/>
    <pivotField showAll="0"/>
    <pivotField showAll="0"/>
    <pivotField showAll="0"/>
    <pivotField dataField="1" numFmtId="165" showAll="0"/>
    <pivotField showAll="0"/>
    <pivotField showAll="0"/>
  </pivotFields>
  <rowFields count="1">
    <field x="5"/>
  </rowFields>
  <rowItems count="6">
    <i>
      <x/>
    </i>
    <i>
      <x v="1"/>
    </i>
    <i>
      <x v="2"/>
    </i>
    <i>
      <x v="3"/>
    </i>
    <i>
      <x v="4"/>
    </i>
    <i t="grand">
      <x/>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83DAC4-43BA-4C89-A1BD-2B55D503E19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13">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numFmtId="165"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Revenue" fld="10" baseField="0" baseItem="0" numFmtId="165"/>
  </dataFields>
  <chartFormats count="27">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6"/>
          </reference>
        </references>
      </pivotArea>
    </chartFormat>
    <chartFormat chart="3" format="7">
      <pivotArea type="data" outline="0" fieldPosition="0">
        <references count="2">
          <reference field="4294967294" count="1" selected="0">
            <x v="0"/>
          </reference>
          <reference field="0" count="1" selected="0">
            <x v="8"/>
          </reference>
        </references>
      </pivotArea>
    </chartFormat>
    <chartFormat chart="3" format="8">
      <pivotArea type="data" outline="0" fieldPosition="0">
        <references count="2">
          <reference field="4294967294" count="1" selected="0">
            <x v="0"/>
          </reference>
          <reference field="0" count="1" selected="0">
            <x v="10"/>
          </reference>
        </references>
      </pivotArea>
    </chartFormat>
    <chartFormat chart="3" format="9">
      <pivotArea type="data" outline="0" fieldPosition="0">
        <references count="2">
          <reference field="4294967294" count="1" selected="0">
            <x v="0"/>
          </reference>
          <reference field="0" count="1" selected="0">
            <x v="9"/>
          </reference>
        </references>
      </pivotArea>
    </chartFormat>
    <chartFormat chart="3" format="10">
      <pivotArea type="data" outline="0" fieldPosition="0">
        <references count="2">
          <reference field="4294967294" count="1" selected="0">
            <x v="0"/>
          </reference>
          <reference field="0" count="1" selected="0">
            <x v="7"/>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5"/>
          </reference>
        </references>
      </pivotArea>
    </chartFormat>
    <chartFormat chart="3" format="13">
      <pivotArea type="data" outline="0" fieldPosition="0">
        <references count="2">
          <reference field="4294967294" count="1" selected="0">
            <x v="0"/>
          </reference>
          <reference field="0" count="1" selected="0">
            <x v="11"/>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0"/>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0" count="1" selected="0">
            <x v="0"/>
          </reference>
        </references>
      </pivotArea>
    </chartFormat>
    <chartFormat chart="7" format="31">
      <pivotArea type="data" outline="0" fieldPosition="0">
        <references count="2">
          <reference field="4294967294" count="1" selected="0">
            <x v="0"/>
          </reference>
          <reference field="0" count="1" selected="0">
            <x v="1"/>
          </reference>
        </references>
      </pivotArea>
    </chartFormat>
    <chartFormat chart="7" format="32">
      <pivotArea type="data" outline="0" fieldPosition="0">
        <references count="2">
          <reference field="4294967294" count="1" selected="0">
            <x v="0"/>
          </reference>
          <reference field="0" count="1" selected="0">
            <x v="2"/>
          </reference>
        </references>
      </pivotArea>
    </chartFormat>
    <chartFormat chart="7" format="33">
      <pivotArea type="data" outline="0" fieldPosition="0">
        <references count="2">
          <reference field="4294967294" count="1" selected="0">
            <x v="0"/>
          </reference>
          <reference field="0" count="1" selected="0">
            <x v="3"/>
          </reference>
        </references>
      </pivotArea>
    </chartFormat>
    <chartFormat chart="7" format="34">
      <pivotArea type="data" outline="0" fieldPosition="0">
        <references count="2">
          <reference field="4294967294" count="1" selected="0">
            <x v="0"/>
          </reference>
          <reference field="0" count="1" selected="0">
            <x v="4"/>
          </reference>
        </references>
      </pivotArea>
    </chartFormat>
    <chartFormat chart="7" format="35">
      <pivotArea type="data" outline="0" fieldPosition="0">
        <references count="2">
          <reference field="4294967294" count="1" selected="0">
            <x v="0"/>
          </reference>
          <reference field="0" count="1" selected="0">
            <x v="5"/>
          </reference>
        </references>
      </pivotArea>
    </chartFormat>
    <chartFormat chart="7" format="36">
      <pivotArea type="data" outline="0" fieldPosition="0">
        <references count="2">
          <reference field="4294967294" count="1" selected="0">
            <x v="0"/>
          </reference>
          <reference field="0" count="1" selected="0">
            <x v="6"/>
          </reference>
        </references>
      </pivotArea>
    </chartFormat>
    <chartFormat chart="7" format="37">
      <pivotArea type="data" outline="0" fieldPosition="0">
        <references count="2">
          <reference field="4294967294" count="1" selected="0">
            <x v="0"/>
          </reference>
          <reference field="0" count="1" selected="0">
            <x v="7"/>
          </reference>
        </references>
      </pivotArea>
    </chartFormat>
    <chartFormat chart="7" format="38">
      <pivotArea type="data" outline="0" fieldPosition="0">
        <references count="2">
          <reference field="4294967294" count="1" selected="0">
            <x v="0"/>
          </reference>
          <reference field="0" count="1" selected="0">
            <x v="8"/>
          </reference>
        </references>
      </pivotArea>
    </chartFormat>
    <chartFormat chart="7" format="39">
      <pivotArea type="data" outline="0" fieldPosition="0">
        <references count="2">
          <reference field="4294967294" count="1" selected="0">
            <x v="0"/>
          </reference>
          <reference field="0" count="1" selected="0">
            <x v="9"/>
          </reference>
        </references>
      </pivotArea>
    </chartFormat>
    <chartFormat chart="7" format="40">
      <pivotArea type="data" outline="0" fieldPosition="0">
        <references count="2">
          <reference field="4294967294" count="1" selected="0">
            <x v="0"/>
          </reference>
          <reference field="0" count="1" selected="0">
            <x v="10"/>
          </reference>
        </references>
      </pivotArea>
    </chartFormat>
    <chartFormat chart="7" format="4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C325E1-BA03-4261-B281-C80C29665C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7:K33" firstHeaderRow="1" firstDataRow="1" firstDataCol="1"/>
  <pivotFields count="14">
    <pivotField showAll="0"/>
    <pivotField showAll="0"/>
    <pivotField showAll="0"/>
    <pivotField showAll="0"/>
    <pivotField showAll="0"/>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showAll="0"/>
    <pivotField dataField="1" showAll="0">
      <items count="3">
        <item x="0"/>
        <item x="1"/>
        <item t="default"/>
      </items>
    </pivotField>
  </pivotFields>
  <rowFields count="1">
    <field x="5"/>
  </rowFields>
  <rowItems count="6">
    <i>
      <x v="1"/>
    </i>
    <i>
      <x/>
    </i>
    <i>
      <x v="4"/>
    </i>
    <i>
      <x v="3"/>
    </i>
    <i>
      <x v="2"/>
    </i>
    <i t="grand">
      <x/>
    </i>
  </rowItems>
  <colItems count="1">
    <i/>
  </colItems>
  <dataFields count="1">
    <dataField name="Count of Return Status" fld="13" subtotal="count" baseField="5"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18FC6B-6E88-4BE3-8BC2-CE1E38B2F6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I11" firstHeaderRow="1" firstDataRow="1" firstDataCol="1"/>
  <pivotFields count="14">
    <pivotField showAll="0"/>
    <pivotField showAll="0"/>
    <pivotField showAll="0"/>
    <pivotField axis="axisRow" showAll="0" measureFilter="1">
      <items count="11">
        <item x="8"/>
        <item x="7"/>
        <item x="5"/>
        <item x="2"/>
        <item x="9"/>
        <item x="6"/>
        <item x="4"/>
        <item x="1"/>
        <item x="3"/>
        <item x="0"/>
        <item t="default"/>
      </items>
    </pivotField>
    <pivotField showAll="0"/>
    <pivotField showAll="0"/>
    <pivotField showAll="0"/>
    <pivotField showAll="0"/>
    <pivotField showAll="0"/>
    <pivotField showAll="0"/>
    <pivotField showAll="0"/>
    <pivotField dataField="1" numFmtId="165" showAll="0"/>
    <pivotField showAll="0"/>
    <pivotField showAll="0"/>
  </pivotFields>
  <rowFields count="1">
    <field x="3"/>
  </rowFields>
  <rowItems count="2">
    <i>
      <x v="9"/>
    </i>
    <i t="grand">
      <x/>
    </i>
  </rowItems>
  <colItems count="1">
    <i/>
  </colItems>
  <dataFields count="1">
    <dataField name="Sum of Revenue" fld="11" baseField="0" baseItem="0" numFmtId="165"/>
  </dataFields>
  <formats count="6">
    <format dxfId="22">
      <pivotArea type="all" dataOnly="0" outline="0" fieldPosition="0"/>
    </format>
    <format dxfId="21">
      <pivotArea outline="0" collapsedLevelsAreSubtotals="1" fieldPosition="0"/>
    </format>
    <format dxfId="20">
      <pivotArea field="3" type="button" dataOnly="0" labelOnly="1" outline="0" axis="axisRow" fieldPosition="0"/>
    </format>
    <format dxfId="19">
      <pivotArea dataOnly="0" labelOnly="1" fieldPosition="0">
        <references count="1">
          <reference field="3" count="1">
            <x v="9"/>
          </reference>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2B8A2-474D-429A-BE7F-6F01FBD73A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7" firstHeaderRow="1" firstDataRow="1" firstDataCol="1"/>
  <pivotFields count="14">
    <pivotField showAll="0"/>
    <pivotField showAll="0"/>
    <pivotField showAll="0"/>
    <pivotField showAll="0"/>
    <pivotField axis="axisRow" showAll="0" measureFilter="1">
      <items count="5">
        <item x="2"/>
        <item x="0"/>
        <item x="1"/>
        <item x="3"/>
        <item t="default"/>
      </items>
    </pivotField>
    <pivotField showAll="0"/>
    <pivotField showAll="0"/>
    <pivotField showAll="0"/>
    <pivotField showAll="0"/>
    <pivotField showAll="0"/>
    <pivotField showAll="0"/>
    <pivotField dataField="1" numFmtId="165" showAll="0"/>
    <pivotField showAll="0"/>
    <pivotField showAll="0"/>
  </pivotFields>
  <rowFields count="1">
    <field x="4"/>
  </rowFields>
  <rowItems count="2">
    <i>
      <x v="1"/>
    </i>
    <i t="grand">
      <x/>
    </i>
  </rowItems>
  <colItems count="1">
    <i/>
  </colItems>
  <dataFields count="1">
    <dataField name="Sum of Revenue" fld="11" baseField="0" baseItem="0" numFmtId="165"/>
  </dataFields>
  <formats count="6">
    <format dxfId="28">
      <pivotArea type="all" dataOnly="0" outline="0" fieldPosition="0"/>
    </format>
    <format dxfId="27">
      <pivotArea outline="0" collapsedLevelsAreSubtotals="1" fieldPosition="0"/>
    </format>
    <format dxfId="26">
      <pivotArea field="4" type="button" dataOnly="0" labelOnly="1" outline="0" axis="axisRow" fieldPosition="0"/>
    </format>
    <format dxfId="25">
      <pivotArea dataOnly="0" labelOnly="1" fieldPosition="0">
        <references count="1">
          <reference field="4" count="1">
            <x v="1"/>
          </reference>
        </references>
      </pivotArea>
    </format>
    <format dxfId="24">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ADB5DA-2C15-4346-ACF8-A665C8A566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15" firstHeaderRow="1" firstDataRow="1" firstDataCol="1"/>
  <pivotFields count="14">
    <pivotField showAll="0"/>
    <pivotField showAll="0"/>
    <pivotField showAll="0"/>
    <pivotField showAll="0"/>
    <pivotField showAll="0"/>
    <pivotField axis="axisRow" showAll="0" measureFilter="1">
      <items count="6">
        <item x="3"/>
        <item x="1"/>
        <item x="0"/>
        <item x="2"/>
        <item x="4"/>
        <item t="default"/>
      </items>
    </pivotField>
    <pivotField showAll="0"/>
    <pivotField showAll="0"/>
    <pivotField showAll="0"/>
    <pivotField showAll="0"/>
    <pivotField showAll="0"/>
    <pivotField dataField="1" numFmtId="165" showAll="0"/>
    <pivotField showAll="0"/>
    <pivotField showAll="0"/>
  </pivotFields>
  <rowFields count="1">
    <field x="5"/>
  </rowFields>
  <rowItems count="2">
    <i>
      <x v="2"/>
    </i>
    <i t="grand">
      <x/>
    </i>
  </rowItems>
  <colItems count="1">
    <i/>
  </colItems>
  <dataFields count="1">
    <dataField name="Sum of Revenue" fld="11" baseField="0" baseItem="0" numFmtId="165"/>
  </dataFields>
  <formats count="6">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1">
            <x v="2"/>
          </reference>
        </references>
      </pivotArea>
    </format>
    <format dxfId="30">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F70420-1B09-4AAD-8411-3ED1556E3A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5:K10" firstHeaderRow="1" firstDataRow="1" firstDataCol="1"/>
  <pivotFields count="14">
    <pivotField showAll="0"/>
    <pivotField showAll="0"/>
    <pivotField showAll="0"/>
    <pivotField showAll="0"/>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5" showAll="0"/>
    <pivotField showAll="0"/>
    <pivotField showAll="0"/>
  </pivotFields>
  <rowFields count="1">
    <field x="4"/>
  </rowFields>
  <rowItems count="5">
    <i>
      <x/>
    </i>
    <i>
      <x v="1"/>
    </i>
    <i>
      <x v="3"/>
    </i>
    <i>
      <x v="2"/>
    </i>
    <i t="grand">
      <x/>
    </i>
  </rowItems>
  <colItems count="1">
    <i/>
  </colItems>
  <dataFields count="1">
    <dataField name="Sum of Revenue" fld="11" baseField="0" baseItem="0" numFmtId="165"/>
  </dataFields>
  <formats count="6">
    <format dxfId="40">
      <pivotArea type="all" dataOnly="0" outline="0" fieldPosition="0"/>
    </format>
    <format dxfId="39">
      <pivotArea outline="0" collapsedLevelsAreSubtotals="1" fieldPosition="0"/>
    </format>
    <format dxfId="38">
      <pivotArea field="4" type="button" dataOnly="0" labelOnly="1" outline="0" axis="axisRow" fieldPosition="0"/>
    </format>
    <format dxfId="37">
      <pivotArea dataOnly="0" labelOnly="1" fieldPosition="0">
        <references count="1">
          <reference field="4" count="0"/>
        </references>
      </pivotArea>
    </format>
    <format dxfId="36">
      <pivotArea dataOnly="0" labelOnly="1" grandRow="1" outline="0" fieldPosition="0"/>
    </format>
    <format dxfId="35">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2"/>
          </reference>
        </references>
      </pivotArea>
    </chartFormat>
    <chartFormat chart="2" format="2">
      <pivotArea type="data" outline="0" fieldPosition="0">
        <references count="2">
          <reference field="4294967294" count="1" selected="0">
            <x v="0"/>
          </reference>
          <reference field="4" count="1" selected="0">
            <x v="3"/>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3"/>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4" count="1" selected="0">
            <x v="0"/>
          </reference>
        </references>
      </pivotArea>
    </chartFormat>
    <chartFormat chart="5" format="17">
      <pivotArea type="data" outline="0" fieldPosition="0">
        <references count="2">
          <reference field="4294967294" count="1" selected="0">
            <x v="0"/>
          </reference>
          <reference field="4" count="1" selected="0">
            <x v="1"/>
          </reference>
        </references>
      </pivotArea>
    </chartFormat>
    <chartFormat chart="5" format="18">
      <pivotArea type="data" outline="0" fieldPosition="0">
        <references count="2">
          <reference field="4294967294" count="1" selected="0">
            <x v="0"/>
          </reference>
          <reference field="4" count="1" selected="0">
            <x v="3"/>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openxmlformats.org/officeDocument/2006/relationships/drawing" Target="../drawings/drawing1.xml" /><Relationship Id="rId4" Type="http://schemas.openxmlformats.org/officeDocument/2006/relationships/pivotTable" Target="../pivotTables/pivotTable4.xml" /></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 /><Relationship Id="rId2" Type="http://schemas.openxmlformats.org/officeDocument/2006/relationships/pivotTable" Target="../pivotTables/pivotTable6.xml" /><Relationship Id="rId1" Type="http://schemas.openxmlformats.org/officeDocument/2006/relationships/pivotTable" Target="../pivotTables/pivotTable5.xml" /><Relationship Id="rId4" Type="http://schemas.openxmlformats.org/officeDocument/2006/relationships/pivotTable" Target="../pivotTables/pivotTable8.x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activeCell="A17" sqref="A17"/>
    </sheetView>
  </sheetViews>
  <sheetFormatPr defaultRowHeight="15" x14ac:dyDescent="0.2"/>
  <cols>
    <col min="1" max="1" width="11.97265625" customWidth="1"/>
    <col min="2" max="2" width="25.9609375" customWidth="1"/>
    <col min="3" max="3" width="37.93359375" customWidth="1"/>
    <col min="4" max="4" width="22.05859375" customWidth="1"/>
    <col min="5" max="5" width="11.97265625" customWidth="1"/>
  </cols>
  <sheetData>
    <row r="1" spans="1:5" ht="30" customHeight="1" x14ac:dyDescent="0.2">
      <c r="A1" s="59" t="s">
        <v>0</v>
      </c>
      <c r="B1" s="60"/>
      <c r="C1" s="60"/>
      <c r="D1" s="60"/>
      <c r="E1" s="60"/>
    </row>
    <row r="2" spans="1:5" ht="26.1" customHeight="1" x14ac:dyDescent="0.2">
      <c r="A2" s="63" t="s">
        <v>1</v>
      </c>
      <c r="B2" s="60"/>
      <c r="C2" s="60"/>
      <c r="D2" s="60"/>
      <c r="E2" s="60"/>
    </row>
    <row r="4" spans="1:5" ht="20.100000000000001" customHeight="1" x14ac:dyDescent="0.2">
      <c r="A4" s="64" t="s">
        <v>2</v>
      </c>
      <c r="B4" s="60"/>
      <c r="C4" s="60"/>
      <c r="D4" s="60"/>
      <c r="E4" s="60"/>
    </row>
    <row r="5" spans="1:5" ht="18" customHeight="1" x14ac:dyDescent="0.2">
      <c r="A5" s="61" t="s">
        <v>3</v>
      </c>
      <c r="B5" s="60"/>
      <c r="C5" s="60"/>
      <c r="D5" s="60"/>
      <c r="E5" s="60"/>
    </row>
    <row r="6" spans="1:5" ht="18" customHeight="1" x14ac:dyDescent="0.2">
      <c r="A6" s="62" t="s">
        <v>4</v>
      </c>
      <c r="B6" s="60"/>
      <c r="C6" s="60"/>
      <c r="D6" s="60"/>
      <c r="E6" s="60"/>
    </row>
    <row r="7" spans="1:5" ht="18" customHeight="1" x14ac:dyDescent="0.2">
      <c r="A7" s="61" t="s">
        <v>5</v>
      </c>
      <c r="B7" s="60"/>
      <c r="C7" s="60"/>
      <c r="D7" s="60"/>
      <c r="E7" s="60"/>
    </row>
    <row r="8" spans="1:5" ht="18" customHeight="1" x14ac:dyDescent="0.2">
      <c r="A8" s="62" t="s">
        <v>6</v>
      </c>
      <c r="B8" s="60"/>
      <c r="C8" s="60"/>
      <c r="D8" s="60"/>
      <c r="E8" s="60"/>
    </row>
    <row r="9" spans="1:5" ht="18" customHeight="1" x14ac:dyDescent="0.2">
      <c r="A9" s="61" t="s">
        <v>7</v>
      </c>
      <c r="B9" s="60"/>
      <c r="C9" s="60"/>
      <c r="D9" s="60"/>
      <c r="E9" s="60"/>
    </row>
    <row r="10" spans="1:5" ht="18" customHeight="1" x14ac:dyDescent="0.2">
      <c r="A10" s="62" t="s">
        <v>8</v>
      </c>
      <c r="B10" s="60"/>
      <c r="C10" s="60"/>
      <c r="D10" s="60"/>
      <c r="E10" s="60"/>
    </row>
    <row r="12" spans="1:5" ht="20.100000000000001" customHeight="1" x14ac:dyDescent="0.2">
      <c r="A12" s="64" t="s">
        <v>9</v>
      </c>
      <c r="B12" s="60"/>
      <c r="C12" s="60"/>
      <c r="D12" s="60"/>
      <c r="E12" s="60"/>
    </row>
    <row r="13" spans="1:5" ht="18" customHeight="1" x14ac:dyDescent="0.2">
      <c r="A13" s="1" t="s">
        <v>10</v>
      </c>
      <c r="B13" s="1" t="s">
        <v>11</v>
      </c>
      <c r="C13" s="1" t="s">
        <v>12</v>
      </c>
      <c r="D13" s="1" t="s">
        <v>13</v>
      </c>
      <c r="E13" s="1" t="s">
        <v>14</v>
      </c>
    </row>
    <row r="14" spans="1:5" ht="33.950000000000003" customHeight="1" x14ac:dyDescent="0.2">
      <c r="A14" s="2" t="s">
        <v>15</v>
      </c>
      <c r="B14" s="3" t="s">
        <v>16</v>
      </c>
      <c r="C14" s="4" t="s">
        <v>17</v>
      </c>
      <c r="D14" s="5" t="s">
        <v>18</v>
      </c>
      <c r="E14" s="6" t="s">
        <v>19</v>
      </c>
    </row>
    <row r="15" spans="1:5" ht="33.950000000000003" customHeight="1" x14ac:dyDescent="0.2">
      <c r="A15" s="2" t="s">
        <v>20</v>
      </c>
      <c r="B15" s="3" t="s">
        <v>21</v>
      </c>
      <c r="C15" s="4" t="s">
        <v>22</v>
      </c>
      <c r="D15" s="5" t="s">
        <v>23</v>
      </c>
      <c r="E15" s="6" t="s">
        <v>24</v>
      </c>
    </row>
    <row r="16" spans="1:5" ht="33.950000000000003" customHeight="1" x14ac:dyDescent="0.2">
      <c r="A16" s="2" t="s">
        <v>25</v>
      </c>
      <c r="B16" s="3" t="s">
        <v>26</v>
      </c>
      <c r="C16" s="4" t="s">
        <v>27</v>
      </c>
      <c r="D16" s="5" t="s">
        <v>23</v>
      </c>
      <c r="E16" s="6" t="s">
        <v>28</v>
      </c>
    </row>
    <row r="17" spans="1:5" ht="33.950000000000003" customHeight="1" x14ac:dyDescent="0.2">
      <c r="A17" s="2" t="s">
        <v>29</v>
      </c>
      <c r="B17" s="3" t="s">
        <v>30</v>
      </c>
      <c r="C17" s="4" t="s">
        <v>31</v>
      </c>
      <c r="D17" s="5" t="s">
        <v>32</v>
      </c>
      <c r="E17" s="6" t="s">
        <v>33</v>
      </c>
    </row>
    <row r="18" spans="1:5" ht="33.950000000000003" customHeight="1" x14ac:dyDescent="0.2">
      <c r="A18" s="2" t="s">
        <v>34</v>
      </c>
      <c r="B18" s="3" t="s">
        <v>35</v>
      </c>
      <c r="C18" s="4" t="s">
        <v>36</v>
      </c>
      <c r="D18" s="5" t="s">
        <v>32</v>
      </c>
      <c r="E18" s="6" t="s">
        <v>37</v>
      </c>
    </row>
    <row r="20" spans="1:5" ht="20.100000000000001" customHeight="1" x14ac:dyDescent="0.2">
      <c r="A20" s="64" t="s">
        <v>38</v>
      </c>
      <c r="B20" s="60"/>
      <c r="C20" s="60"/>
      <c r="D20" s="60"/>
      <c r="E20" s="60"/>
    </row>
    <row r="21" spans="1:5" ht="26.1" customHeight="1" x14ac:dyDescent="0.2">
      <c r="A21" s="63" t="s">
        <v>39</v>
      </c>
      <c r="B21" s="60"/>
      <c r="C21" s="60"/>
      <c r="D21" s="60"/>
      <c r="E21" s="60"/>
    </row>
  </sheetData>
  <mergeCells count="12">
    <mergeCell ref="A21:E21"/>
    <mergeCell ref="A12:E12"/>
    <mergeCell ref="A4:E4"/>
    <mergeCell ref="A20:E20"/>
    <mergeCell ref="A2:E2"/>
    <mergeCell ref="A7:E7"/>
    <mergeCell ref="A10:E10"/>
    <mergeCell ref="A1:E1"/>
    <mergeCell ref="A5:E5"/>
    <mergeCell ref="A8:E8"/>
    <mergeCell ref="A6:E6"/>
    <mergeCell ref="A9:E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07C14-C1DE-46C5-9824-47BF37700E7B}">
  <dimension ref="A3:K33"/>
  <sheetViews>
    <sheetView workbookViewId="0">
      <selection activeCell="G2" sqref="G2:J20"/>
    </sheetView>
  </sheetViews>
  <sheetFormatPr defaultRowHeight="15" x14ac:dyDescent="0.2"/>
  <cols>
    <col min="1" max="1" width="13.1796875" bestFit="1" customWidth="1"/>
    <col min="2" max="2" width="15.6015625" bestFit="1" customWidth="1"/>
    <col min="3" max="3" width="16.54296875" bestFit="1" customWidth="1"/>
    <col min="4" max="4" width="20.84765625" customWidth="1"/>
    <col min="5" max="5" width="12.10546875" customWidth="1"/>
    <col min="6" max="6" width="15.6015625" bestFit="1" customWidth="1"/>
    <col min="7" max="7" width="10.625" customWidth="1"/>
    <col min="8" max="8" width="11.703125" customWidth="1"/>
    <col min="10" max="10" width="16.54296875" bestFit="1" customWidth="1"/>
    <col min="11" max="11" width="21.1171875" bestFit="1" customWidth="1"/>
  </cols>
  <sheetData>
    <row r="3" spans="1:6" x14ac:dyDescent="0.2">
      <c r="A3" s="16" t="s">
        <v>432</v>
      </c>
      <c r="B3" t="s">
        <v>451</v>
      </c>
      <c r="C3" s="16" t="s">
        <v>432</v>
      </c>
      <c r="D3" t="s">
        <v>451</v>
      </c>
      <c r="E3" s="16" t="s">
        <v>432</v>
      </c>
      <c r="F3" t="s">
        <v>451</v>
      </c>
    </row>
    <row r="4" spans="1:6" x14ac:dyDescent="0.2">
      <c r="A4" s="17" t="s">
        <v>453</v>
      </c>
      <c r="B4" s="43">
        <v>5310</v>
      </c>
      <c r="C4" s="17" t="s">
        <v>109</v>
      </c>
      <c r="D4" s="43">
        <v>5787</v>
      </c>
      <c r="E4" s="17" t="s">
        <v>103</v>
      </c>
      <c r="F4" s="43">
        <v>2220</v>
      </c>
    </row>
    <row r="5" spans="1:6" x14ac:dyDescent="0.2">
      <c r="A5" s="17" t="s">
        <v>454</v>
      </c>
      <c r="B5" s="43">
        <v>6263</v>
      </c>
      <c r="C5" s="17" t="s">
        <v>85</v>
      </c>
      <c r="D5" s="43">
        <v>12268</v>
      </c>
      <c r="E5" s="17" t="s">
        <v>369</v>
      </c>
      <c r="F5" s="43">
        <v>1551</v>
      </c>
    </row>
    <row r="6" spans="1:6" x14ac:dyDescent="0.2">
      <c r="A6" s="17" t="s">
        <v>455</v>
      </c>
      <c r="B6" s="43">
        <v>3367</v>
      </c>
      <c r="C6" s="17" t="s">
        <v>119</v>
      </c>
      <c r="D6" s="43">
        <v>25045</v>
      </c>
      <c r="E6" s="17" t="s">
        <v>84</v>
      </c>
      <c r="F6" s="43">
        <v>6267</v>
      </c>
    </row>
    <row r="7" spans="1:6" x14ac:dyDescent="0.2">
      <c r="A7" s="17" t="s">
        <v>456</v>
      </c>
      <c r="B7" s="43">
        <v>7296</v>
      </c>
      <c r="C7" s="17" t="s">
        <v>74</v>
      </c>
      <c r="D7" s="43">
        <v>7955</v>
      </c>
      <c r="E7" s="17" t="s">
        <v>366</v>
      </c>
      <c r="F7" s="43">
        <v>4920</v>
      </c>
    </row>
    <row r="8" spans="1:6" x14ac:dyDescent="0.2">
      <c r="A8" s="17" t="s">
        <v>457</v>
      </c>
      <c r="B8" s="43">
        <v>1822</v>
      </c>
      <c r="C8" s="17" t="s">
        <v>97</v>
      </c>
      <c r="D8" s="43">
        <v>9344</v>
      </c>
      <c r="E8" s="17" t="s">
        <v>363</v>
      </c>
      <c r="F8" s="43">
        <v>3657</v>
      </c>
    </row>
    <row r="9" spans="1:6" x14ac:dyDescent="0.2">
      <c r="A9" s="17" t="s">
        <v>458</v>
      </c>
      <c r="B9" s="43">
        <v>7242</v>
      </c>
      <c r="C9" s="17" t="s">
        <v>433</v>
      </c>
      <c r="D9" s="43">
        <v>60399</v>
      </c>
      <c r="E9" s="17" t="s">
        <v>90</v>
      </c>
      <c r="F9" s="43">
        <v>8979</v>
      </c>
    </row>
    <row r="10" spans="1:6" x14ac:dyDescent="0.2">
      <c r="A10" s="17" t="s">
        <v>459</v>
      </c>
      <c r="B10" s="43">
        <v>2487</v>
      </c>
      <c r="E10" s="17" t="s">
        <v>368</v>
      </c>
      <c r="F10" s="43">
        <v>7504</v>
      </c>
    </row>
    <row r="11" spans="1:6" x14ac:dyDescent="0.2">
      <c r="A11" s="17" t="s">
        <v>460</v>
      </c>
      <c r="B11" s="43">
        <v>7334</v>
      </c>
      <c r="C11" t="s">
        <v>432</v>
      </c>
      <c r="D11" t="s">
        <v>451</v>
      </c>
      <c r="E11" s="17" t="s">
        <v>365</v>
      </c>
      <c r="F11" s="43">
        <v>10078</v>
      </c>
    </row>
    <row r="12" spans="1:6" x14ac:dyDescent="0.2">
      <c r="A12" s="17" t="s">
        <v>461</v>
      </c>
      <c r="B12" s="43">
        <v>3087</v>
      </c>
      <c r="C12" t="s">
        <v>119</v>
      </c>
      <c r="D12">
        <v>25045</v>
      </c>
      <c r="E12" s="17" t="s">
        <v>367</v>
      </c>
      <c r="F12" s="43">
        <v>1189</v>
      </c>
    </row>
    <row r="13" spans="1:6" x14ac:dyDescent="0.2">
      <c r="A13" s="17" t="s">
        <v>462</v>
      </c>
      <c r="B13" s="43">
        <v>5884</v>
      </c>
      <c r="C13" t="s">
        <v>85</v>
      </c>
      <c r="D13">
        <v>12268</v>
      </c>
      <c r="E13" s="17" t="s">
        <v>54</v>
      </c>
      <c r="F13" s="43">
        <v>14034</v>
      </c>
    </row>
    <row r="14" spans="1:6" x14ac:dyDescent="0.2">
      <c r="A14" s="17" t="s">
        <v>463</v>
      </c>
      <c r="B14" s="43">
        <v>4028</v>
      </c>
      <c r="C14" t="s">
        <v>97</v>
      </c>
      <c r="D14">
        <v>9344</v>
      </c>
      <c r="E14" s="17" t="s">
        <v>433</v>
      </c>
      <c r="F14" s="43">
        <v>60399</v>
      </c>
    </row>
    <row r="15" spans="1:6" x14ac:dyDescent="0.2">
      <c r="A15" s="17" t="s">
        <v>464</v>
      </c>
      <c r="B15" s="43">
        <v>6279</v>
      </c>
      <c r="C15" t="s">
        <v>74</v>
      </c>
      <c r="D15">
        <v>7955</v>
      </c>
    </row>
    <row r="16" spans="1:6" x14ac:dyDescent="0.2">
      <c r="A16" s="17" t="s">
        <v>433</v>
      </c>
      <c r="B16" s="43">
        <v>60399</v>
      </c>
      <c r="C16" t="s">
        <v>109</v>
      </c>
      <c r="D16">
        <v>5787</v>
      </c>
    </row>
    <row r="18" spans="1:11" x14ac:dyDescent="0.2">
      <c r="A18" t="s">
        <v>432</v>
      </c>
      <c r="B18" t="s">
        <v>451</v>
      </c>
    </row>
    <row r="19" spans="1:11" x14ac:dyDescent="0.2">
      <c r="A19" t="s">
        <v>103</v>
      </c>
      <c r="B19">
        <v>2220</v>
      </c>
    </row>
    <row r="20" spans="1:11" x14ac:dyDescent="0.2">
      <c r="A20" t="s">
        <v>369</v>
      </c>
      <c r="B20">
        <v>1551</v>
      </c>
    </row>
    <row r="21" spans="1:11" x14ac:dyDescent="0.2">
      <c r="A21" t="s">
        <v>84</v>
      </c>
      <c r="B21">
        <v>6267</v>
      </c>
    </row>
    <row r="22" spans="1:11" x14ac:dyDescent="0.2">
      <c r="A22" t="s">
        <v>366</v>
      </c>
      <c r="B22">
        <v>4920</v>
      </c>
    </row>
    <row r="23" spans="1:11" x14ac:dyDescent="0.2">
      <c r="A23" t="s">
        <v>363</v>
      </c>
      <c r="B23">
        <v>3657</v>
      </c>
    </row>
    <row r="24" spans="1:11" x14ac:dyDescent="0.2">
      <c r="A24" t="s">
        <v>90</v>
      </c>
      <c r="B24">
        <v>8979</v>
      </c>
    </row>
    <row r="25" spans="1:11" x14ac:dyDescent="0.2">
      <c r="A25" t="s">
        <v>368</v>
      </c>
      <c r="B25">
        <v>7504</v>
      </c>
    </row>
    <row r="26" spans="1:11" x14ac:dyDescent="0.2">
      <c r="A26" t="s">
        <v>365</v>
      </c>
      <c r="B26">
        <v>10078</v>
      </c>
      <c r="E26" s="65" t="s">
        <v>466</v>
      </c>
      <c r="F26" s="65"/>
      <c r="G26" s="65"/>
      <c r="H26" s="65"/>
    </row>
    <row r="27" spans="1:11" x14ac:dyDescent="0.2">
      <c r="A27" t="s">
        <v>367</v>
      </c>
      <c r="B27">
        <v>1189</v>
      </c>
      <c r="E27" s="44"/>
      <c r="F27" s="45" t="s">
        <v>465</v>
      </c>
      <c r="G27" s="45" t="s">
        <v>450</v>
      </c>
      <c r="H27" s="44"/>
      <c r="J27" s="16" t="s">
        <v>432</v>
      </c>
      <c r="K27" t="s">
        <v>467</v>
      </c>
    </row>
    <row r="28" spans="1:11" x14ac:dyDescent="0.2">
      <c r="A28" t="s">
        <v>54</v>
      </c>
      <c r="B28">
        <v>14034</v>
      </c>
      <c r="E28" s="44"/>
      <c r="F28" s="44" t="s">
        <v>54</v>
      </c>
      <c r="G28" s="44">
        <v>14034</v>
      </c>
      <c r="H28" s="44"/>
      <c r="J28" s="17" t="s">
        <v>74</v>
      </c>
      <c r="K28">
        <v>16</v>
      </c>
    </row>
    <row r="29" spans="1:11" x14ac:dyDescent="0.2">
      <c r="E29" s="44"/>
      <c r="F29" s="44" t="s">
        <v>365</v>
      </c>
      <c r="G29" s="44">
        <v>10078</v>
      </c>
      <c r="H29" s="44"/>
      <c r="J29" s="17" t="s">
        <v>97</v>
      </c>
      <c r="K29">
        <v>16</v>
      </c>
    </row>
    <row r="30" spans="1:11" x14ac:dyDescent="0.2">
      <c r="E30" s="44"/>
      <c r="F30" s="44" t="s">
        <v>90</v>
      </c>
      <c r="G30" s="44">
        <v>8979</v>
      </c>
      <c r="H30" s="44"/>
      <c r="J30" s="17" t="s">
        <v>109</v>
      </c>
      <c r="K30">
        <v>16</v>
      </c>
    </row>
    <row r="31" spans="1:11" x14ac:dyDescent="0.2">
      <c r="C31" t="s">
        <v>103</v>
      </c>
      <c r="D31">
        <v>2220</v>
      </c>
      <c r="E31" s="44"/>
      <c r="F31" s="44" t="s">
        <v>103</v>
      </c>
      <c r="G31" s="44">
        <v>2220</v>
      </c>
      <c r="H31" s="44"/>
      <c r="J31" s="17" t="s">
        <v>85</v>
      </c>
      <c r="K31">
        <v>16</v>
      </c>
    </row>
    <row r="32" spans="1:11" x14ac:dyDescent="0.2">
      <c r="C32" t="s">
        <v>369</v>
      </c>
      <c r="D32">
        <v>1551</v>
      </c>
      <c r="E32" s="44"/>
      <c r="F32" s="44" t="s">
        <v>369</v>
      </c>
      <c r="G32" s="44">
        <v>1551</v>
      </c>
      <c r="H32" s="44"/>
      <c r="J32" s="17" t="s">
        <v>119</v>
      </c>
      <c r="K32">
        <v>32</v>
      </c>
    </row>
    <row r="33" spans="3:11" x14ac:dyDescent="0.2">
      <c r="C33" t="s">
        <v>367</v>
      </c>
      <c r="D33">
        <v>1189</v>
      </c>
      <c r="E33" s="44"/>
      <c r="F33" s="44" t="s">
        <v>367</v>
      </c>
      <c r="G33" s="44">
        <v>1189</v>
      </c>
      <c r="H33" s="44"/>
      <c r="J33" s="17" t="s">
        <v>433</v>
      </c>
      <c r="K33">
        <v>96</v>
      </c>
    </row>
  </sheetData>
  <sortState xmlns:xlrd2="http://schemas.microsoft.com/office/spreadsheetml/2017/richdata2" ref="C12:D16">
    <sortCondition descending="1" ref="D12:D16"/>
  </sortState>
  <mergeCells count="1">
    <mergeCell ref="E26:H26"/>
  </mergeCells>
  <conditionalFormatting sqref="A18:B28">
    <cfRule type="top10" dxfId="16" priority="6" bottom="1" rank="3"/>
    <cfRule type="top10" dxfId="15" priority="7" rank="3"/>
  </conditionalFormatting>
  <conditionalFormatting sqref="F28:F30">
    <cfRule type="top10" dxfId="14" priority="2" bottom="1" rank="3"/>
    <cfRule type="top10" dxfId="13" priority="3" rank="3"/>
  </conditionalFormatting>
  <conditionalFormatting sqref="F31:F33">
    <cfRule type="top10" dxfId="12" priority="4" bottom="1" rank="3"/>
    <cfRule type="top10" dxfId="11" priority="5" rank="3"/>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1" id="{9DC7A892-68DC-4DBE-A0AA-4EB9AD116FC7}">
            <x14:iconSet iconSet="3Arrows" custom="1">
              <x14:cfvo type="percent">
                <xm:f>0</xm:f>
              </x14:cfvo>
              <x14:cfvo type="num" gte="0">
                <xm:f>0</xm:f>
              </x14:cfvo>
              <x14:cfvo type="num" gte="0">
                <xm:f>2220</xm:f>
              </x14:cfvo>
              <x14:cfIcon iconSet="3Arrows" iconId="1"/>
              <x14:cfIcon iconSet="3Arrows" iconId="0"/>
              <x14:cfIcon iconSet="3Arrows" iconId="2"/>
            </x14:iconSet>
          </x14:cfRule>
          <xm:sqref>F28:G33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2"/>
  <sheetViews>
    <sheetView topLeftCell="F1" workbookViewId="0">
      <selection activeCell="C3" sqref="C3"/>
    </sheetView>
  </sheetViews>
  <sheetFormatPr defaultRowHeight="15" x14ac:dyDescent="0.2"/>
  <cols>
    <col min="1" max="1" width="9.953125" customWidth="1"/>
    <col min="2" max="2" width="11.97265625" customWidth="1"/>
    <col min="3" max="3" width="11.296875" customWidth="1"/>
    <col min="4" max="4" width="18.0234375" customWidth="1"/>
    <col min="5" max="5" width="14.66015625" bestFit="1" customWidth="1"/>
    <col min="6" max="6" width="16.0078125" customWidth="1"/>
    <col min="7" max="7" width="11.97265625" bestFit="1" customWidth="1"/>
    <col min="8" max="8" width="9.01171875" customWidth="1"/>
    <col min="9" max="9" width="14.125" bestFit="1" customWidth="1"/>
    <col min="10" max="10" width="11.97265625" customWidth="1"/>
    <col min="11" max="11" width="13.046875" customWidth="1"/>
    <col min="12" max="12" width="11.97265625" customWidth="1"/>
    <col min="13" max="13" width="14.66015625" bestFit="1" customWidth="1"/>
    <col min="14" max="14" width="16.54296875" bestFit="1" customWidth="1"/>
    <col min="16" max="16" width="13.1796875" bestFit="1" customWidth="1"/>
  </cols>
  <sheetData>
    <row r="1" spans="1:15" ht="26.1" customHeight="1" x14ac:dyDescent="0.2">
      <c r="A1" s="66" t="s">
        <v>40</v>
      </c>
      <c r="B1" s="66"/>
      <c r="C1" s="66"/>
      <c r="D1" s="66"/>
      <c r="E1" s="66"/>
      <c r="F1" s="66"/>
      <c r="G1" s="66"/>
      <c r="H1" s="66"/>
      <c r="I1" s="66"/>
      <c r="J1" s="66"/>
      <c r="K1" s="66"/>
      <c r="L1" s="66"/>
      <c r="M1" s="66"/>
      <c r="N1" s="66"/>
      <c r="O1" s="66"/>
    </row>
    <row r="2" spans="1:15" ht="26.1" customHeight="1" x14ac:dyDescent="0.2">
      <c r="A2" s="67" t="s">
        <v>41</v>
      </c>
      <c r="B2" s="67"/>
      <c r="C2" s="67"/>
      <c r="D2" s="67"/>
      <c r="E2" s="67"/>
      <c r="F2" s="67"/>
      <c r="G2" s="67"/>
      <c r="H2" s="67"/>
      <c r="I2" s="67"/>
      <c r="J2" s="67"/>
      <c r="K2" s="67"/>
      <c r="L2" s="67"/>
      <c r="M2" s="67"/>
      <c r="N2" s="67"/>
      <c r="O2" s="67"/>
    </row>
    <row r="3" spans="1:15" ht="20.100000000000001" customHeight="1" x14ac:dyDescent="0.2">
      <c r="A3" s="2" t="s">
        <v>42</v>
      </c>
      <c r="B3" s="2" t="s">
        <v>43</v>
      </c>
      <c r="C3" s="2" t="s">
        <v>452</v>
      </c>
      <c r="D3" s="2" t="s">
        <v>44</v>
      </c>
      <c r="E3" s="2" t="s">
        <v>435</v>
      </c>
      <c r="F3" s="2" t="s">
        <v>434</v>
      </c>
      <c r="G3" s="2" t="s">
        <v>341</v>
      </c>
      <c r="H3" s="2" t="s">
        <v>45</v>
      </c>
      <c r="I3" s="2" t="s">
        <v>46</v>
      </c>
      <c r="J3" s="2" t="s">
        <v>47</v>
      </c>
      <c r="K3" s="37" t="s">
        <v>449</v>
      </c>
      <c r="L3" s="2" t="s">
        <v>48</v>
      </c>
      <c r="M3" s="37" t="s">
        <v>450</v>
      </c>
      <c r="N3" s="2" t="s">
        <v>49</v>
      </c>
      <c r="O3" s="2" t="s">
        <v>50</v>
      </c>
    </row>
    <row r="4" spans="1:15" ht="18.75" customHeight="1" x14ac:dyDescent="0.2">
      <c r="A4" s="7" t="s">
        <v>51</v>
      </c>
      <c r="B4" s="7" t="s">
        <v>52</v>
      </c>
      <c r="C4" s="7" t="s">
        <v>453</v>
      </c>
      <c r="D4" s="7" t="s">
        <v>53</v>
      </c>
      <c r="E4" s="8" t="s">
        <v>54</v>
      </c>
      <c r="F4" s="7" t="s">
        <v>118</v>
      </c>
      <c r="G4" s="7" t="s">
        <v>119</v>
      </c>
      <c r="H4" s="7" t="s">
        <v>55</v>
      </c>
      <c r="I4" s="7">
        <v>2</v>
      </c>
      <c r="J4" s="7" t="s">
        <v>53</v>
      </c>
      <c r="K4" s="7" cm="1">
        <f t="array" ref="K4">_xlfn.IFS(H4="EL-2201",999,'Raw Sales Data'!H4="EL-2205",1299,'Raw Sales Data'!H4="EL-2210",1099,'Raw Sales Data'!H4="CL-1102",89,'Raw Sales Data'!H4="CL-1108",79,'Raw Sales Data'!H4="CL-1120",95,'Raw Sales Data'!H4="HA-3301",549,'Raw Sales Data'!H4="HA-3305",399,'Raw Sales Data'!H4="HA-3308",129,'Raw Sales Data'!H4="BE-4401",42,'Raw Sales Data'!H4="BE-4402",125,'Raw Sales Data'!H4="BE-4408",58,'Raw Sales Data'!H4="SP-5501",1495,'Raw Sales Data'!H4="SP-5505",299,'Raw Sales Data'!H4="SP-5510",249)</f>
        <v>1299</v>
      </c>
      <c r="L4" s="7" t="s">
        <v>56</v>
      </c>
      <c r="M4" s="39">
        <f>K4*I4</f>
        <v>2598</v>
      </c>
      <c r="N4" s="7" t="s">
        <v>57</v>
      </c>
      <c r="O4" s="7" t="s">
        <v>58</v>
      </c>
    </row>
    <row r="5" spans="1:15" ht="14.1" customHeight="1" x14ac:dyDescent="0.2">
      <c r="A5" s="9" t="s">
        <v>59</v>
      </c>
      <c r="B5" s="9" t="s">
        <v>60</v>
      </c>
      <c r="C5" s="9" t="s">
        <v>453</v>
      </c>
      <c r="D5" s="9" t="s">
        <v>61</v>
      </c>
      <c r="E5" s="4" t="s">
        <v>365</v>
      </c>
      <c r="F5" s="9" t="s">
        <v>118</v>
      </c>
      <c r="G5" s="9" t="s">
        <v>119</v>
      </c>
      <c r="H5" s="9" t="s">
        <v>62</v>
      </c>
      <c r="I5" s="9">
        <v>1</v>
      </c>
      <c r="J5" s="9" t="s">
        <v>61</v>
      </c>
      <c r="K5" s="38" cm="1">
        <f t="array" ref="K5">_xlfn.IFS(H5="EL-2201",999,'Raw Sales Data'!H5="EL-2205",1299,'Raw Sales Data'!H5="EL-2210",1099,'Raw Sales Data'!H5="CL-1102",89,'Raw Sales Data'!H5="CL-1108",79,'Raw Sales Data'!H5="CL-1120",95,'Raw Sales Data'!H5="HA-3301",549,'Raw Sales Data'!H5="HA-3305",399,'Raw Sales Data'!H5="HA-3308",129,'Raw Sales Data'!H5="BE-4401",42,'Raw Sales Data'!H5="BE-4402",125,'Raw Sales Data'!H5="BE-4408",58,'Raw Sales Data'!H5="SP-5501",1495,'Raw Sales Data'!H5="SP-5505",299,'Raw Sales Data'!H5="SP-5510",249)</f>
        <v>1099</v>
      </c>
      <c r="L5" s="9" t="s">
        <v>63</v>
      </c>
      <c r="M5" s="40">
        <f t="shared" ref="M5:M68" si="0">K5*I5</f>
        <v>1099</v>
      </c>
      <c r="N5" s="9" t="s">
        <v>64</v>
      </c>
      <c r="O5" s="9" t="s">
        <v>58</v>
      </c>
    </row>
    <row r="6" spans="1:15" ht="14.1" customHeight="1" x14ac:dyDescent="0.2">
      <c r="A6" s="7" t="s">
        <v>65</v>
      </c>
      <c r="B6" s="7" t="s">
        <v>66</v>
      </c>
      <c r="C6" s="7" t="s">
        <v>453</v>
      </c>
      <c r="D6" s="7" t="s">
        <v>67</v>
      </c>
      <c r="E6" s="8" t="s">
        <v>366</v>
      </c>
      <c r="F6" s="7" t="s">
        <v>118</v>
      </c>
      <c r="G6" s="7" t="s">
        <v>119</v>
      </c>
      <c r="H6" s="7" t="s">
        <v>68</v>
      </c>
      <c r="I6" s="7">
        <v>3</v>
      </c>
      <c r="J6" s="7" t="s">
        <v>67</v>
      </c>
      <c r="K6" s="7" cm="1">
        <f t="array" ref="K6">_xlfn.IFS(H6="EL-2201",999,'Raw Sales Data'!H6="EL-2205",1299,'Raw Sales Data'!H6="EL-2210",1099,'Raw Sales Data'!H6="CL-1102",89,'Raw Sales Data'!H6="CL-1108",79,'Raw Sales Data'!H6="CL-1120",95,'Raw Sales Data'!H6="HA-3301",549,'Raw Sales Data'!H6="HA-3305",399,'Raw Sales Data'!H6="HA-3308",129,'Raw Sales Data'!H6="BE-4401",42,'Raw Sales Data'!H6="BE-4402",125,'Raw Sales Data'!H6="BE-4408",58,'Raw Sales Data'!H6="SP-5501",1495,'Raw Sales Data'!H6="SP-5505",299,'Raw Sales Data'!H6="SP-5510",249)</f>
        <v>89</v>
      </c>
      <c r="L6" s="7" t="s">
        <v>69</v>
      </c>
      <c r="M6" s="39">
        <f t="shared" si="0"/>
        <v>267</v>
      </c>
      <c r="N6" s="7" t="s">
        <v>70</v>
      </c>
      <c r="O6" s="7" t="s">
        <v>58</v>
      </c>
    </row>
    <row r="7" spans="1:15" ht="14.1" customHeight="1" x14ac:dyDescent="0.2">
      <c r="A7" s="9" t="s">
        <v>71</v>
      </c>
      <c r="B7" s="9" t="s">
        <v>69</v>
      </c>
      <c r="C7" s="9" t="s">
        <v>453</v>
      </c>
      <c r="D7" s="9" t="s">
        <v>72</v>
      </c>
      <c r="E7" s="4" t="s">
        <v>367</v>
      </c>
      <c r="F7" s="9" t="s">
        <v>73</v>
      </c>
      <c r="G7" s="9" t="s">
        <v>74</v>
      </c>
      <c r="H7" s="9" t="s">
        <v>75</v>
      </c>
      <c r="I7" s="9">
        <v>1</v>
      </c>
      <c r="J7" s="9" t="s">
        <v>72</v>
      </c>
      <c r="K7" s="38" cm="1">
        <f t="array" ref="K7">_xlfn.IFS(H7="EL-2201",999,'Raw Sales Data'!H7="EL-2205",1299,'Raw Sales Data'!H7="EL-2210",1099,'Raw Sales Data'!H7="CL-1102",89,'Raw Sales Data'!H7="CL-1108",79,'Raw Sales Data'!H7="CL-1120",95,'Raw Sales Data'!H7="HA-3301",549,'Raw Sales Data'!H7="HA-3305",399,'Raw Sales Data'!H7="HA-3308",129,'Raw Sales Data'!H7="BE-4401",42,'Raw Sales Data'!H7="BE-4402",125,'Raw Sales Data'!H7="BE-4408",58,'Raw Sales Data'!H7="SP-5501",1495,'Raw Sales Data'!H7="SP-5505",299,'Raw Sales Data'!H7="SP-5510",249)</f>
        <v>79</v>
      </c>
      <c r="L7" s="9" t="s">
        <v>66</v>
      </c>
      <c r="M7" s="40">
        <f t="shared" si="0"/>
        <v>79</v>
      </c>
      <c r="N7" s="9" t="s">
        <v>57</v>
      </c>
      <c r="O7" s="9" t="s">
        <v>58</v>
      </c>
    </row>
    <row r="8" spans="1:15" ht="14.1" customHeight="1" x14ac:dyDescent="0.2">
      <c r="A8" s="7" t="s">
        <v>76</v>
      </c>
      <c r="B8" s="7" t="s">
        <v>77</v>
      </c>
      <c r="C8" s="7" t="s">
        <v>453</v>
      </c>
      <c r="D8" s="7" t="s">
        <v>78</v>
      </c>
      <c r="E8" s="8" t="s">
        <v>368</v>
      </c>
      <c r="F8" s="30" t="s">
        <v>73</v>
      </c>
      <c r="G8" s="7" t="s">
        <v>74</v>
      </c>
      <c r="H8" s="7" t="s">
        <v>79</v>
      </c>
      <c r="I8" s="7">
        <v>2</v>
      </c>
      <c r="J8" s="7" t="s">
        <v>78</v>
      </c>
      <c r="K8" s="7" cm="1">
        <f t="array" ref="K8">_xlfn.IFS(H8="EL-2201",999,'Raw Sales Data'!H8="EL-2205",1299,'Raw Sales Data'!H8="EL-2210",1099,'Raw Sales Data'!H8="CL-1102",89,'Raw Sales Data'!H8="CL-1108",79,'Raw Sales Data'!H8="CL-1120",95,'Raw Sales Data'!H8="HA-3301",549,'Raw Sales Data'!H8="HA-3305",399,'Raw Sales Data'!H8="HA-3308",129,'Raw Sales Data'!H8="BE-4401",42,'Raw Sales Data'!H8="BE-4402",125,'Raw Sales Data'!H8="BE-4408",58,'Raw Sales Data'!H8="SP-5501",1495,'Raw Sales Data'!H8="SP-5505",299,'Raw Sales Data'!H8="SP-5510",249)</f>
        <v>95</v>
      </c>
      <c r="L8" s="7" t="s">
        <v>80</v>
      </c>
      <c r="M8" s="39">
        <f t="shared" si="0"/>
        <v>190</v>
      </c>
      <c r="N8" s="7" t="s">
        <v>64</v>
      </c>
      <c r="O8" s="7" t="s">
        <v>58</v>
      </c>
    </row>
    <row r="9" spans="1:15" ht="14.1" customHeight="1" x14ac:dyDescent="0.2">
      <c r="A9" s="9" t="s">
        <v>81</v>
      </c>
      <c r="B9" s="9" t="s">
        <v>82</v>
      </c>
      <c r="C9" s="9" t="s">
        <v>453</v>
      </c>
      <c r="D9" s="9" t="s">
        <v>83</v>
      </c>
      <c r="E9" s="4" t="s">
        <v>84</v>
      </c>
      <c r="F9" s="9" t="s">
        <v>73</v>
      </c>
      <c r="G9" s="9" t="s">
        <v>85</v>
      </c>
      <c r="H9" s="9" t="s">
        <v>86</v>
      </c>
      <c r="I9" s="9">
        <v>1</v>
      </c>
      <c r="J9" s="9" t="s">
        <v>83</v>
      </c>
      <c r="K9" s="38" cm="1">
        <f t="array" ref="K9">_xlfn.IFS(H9="EL-2201",999,'Raw Sales Data'!H9="EL-2205",1299,'Raw Sales Data'!H9="EL-2210",1099,'Raw Sales Data'!H9="CL-1102",89,'Raw Sales Data'!H9="CL-1108",79,'Raw Sales Data'!H9="CL-1120",95,'Raw Sales Data'!H9="HA-3301",549,'Raw Sales Data'!H9="HA-3305",399,'Raw Sales Data'!H9="HA-3308",129,'Raw Sales Data'!H9="BE-4401",42,'Raw Sales Data'!H9="BE-4402",125,'Raw Sales Data'!H9="BE-4408",58,'Raw Sales Data'!H9="SP-5501",1495,'Raw Sales Data'!H9="SP-5505",299,'Raw Sales Data'!H9="SP-5510",249)</f>
        <v>549</v>
      </c>
      <c r="L9" s="9" t="s">
        <v>87</v>
      </c>
      <c r="M9" s="40">
        <f t="shared" si="0"/>
        <v>549</v>
      </c>
      <c r="N9" s="9" t="s">
        <v>70</v>
      </c>
      <c r="O9" s="9" t="s">
        <v>58</v>
      </c>
    </row>
    <row r="10" spans="1:15" ht="14.1" customHeight="1" x14ac:dyDescent="0.2">
      <c r="A10" s="7" t="s">
        <v>88</v>
      </c>
      <c r="B10" s="7" t="s">
        <v>87</v>
      </c>
      <c r="C10" s="7" t="s">
        <v>453</v>
      </c>
      <c r="D10" s="7" t="s">
        <v>89</v>
      </c>
      <c r="E10" s="8" t="s">
        <v>90</v>
      </c>
      <c r="F10" s="7" t="s">
        <v>91</v>
      </c>
      <c r="G10" s="7" t="s">
        <v>85</v>
      </c>
      <c r="H10" s="7" t="s">
        <v>92</v>
      </c>
      <c r="I10" s="7">
        <v>1</v>
      </c>
      <c r="J10" s="7" t="s">
        <v>89</v>
      </c>
      <c r="K10" s="7" cm="1">
        <f t="array" ref="K10">_xlfn.IFS(H10="EL-2201",999,'Raw Sales Data'!H10="EL-2205",1299,'Raw Sales Data'!H10="EL-2210",1099,'Raw Sales Data'!H10="CL-1102",89,'Raw Sales Data'!H10="CL-1108",79,'Raw Sales Data'!H10="CL-1120",95,'Raw Sales Data'!H10="HA-3301",549,'Raw Sales Data'!H10="HA-3305",399,'Raw Sales Data'!H10="HA-3308",129,'Raw Sales Data'!H10="BE-4401",42,'Raw Sales Data'!H10="BE-4402",125,'Raw Sales Data'!H10="BE-4408",58,'Raw Sales Data'!H10="SP-5501",1495,'Raw Sales Data'!H10="SP-5505",299,'Raw Sales Data'!H10="SP-5510",249)</f>
        <v>399</v>
      </c>
      <c r="L10" s="7" t="s">
        <v>93</v>
      </c>
      <c r="M10" s="39">
        <f t="shared" si="0"/>
        <v>399</v>
      </c>
      <c r="N10" s="7" t="s">
        <v>57</v>
      </c>
      <c r="O10" s="7" t="s">
        <v>58</v>
      </c>
    </row>
    <row r="11" spans="1:15" ht="14.1" customHeight="1" x14ac:dyDescent="0.2">
      <c r="A11" s="9" t="s">
        <v>94</v>
      </c>
      <c r="B11" s="9" t="s">
        <v>95</v>
      </c>
      <c r="C11" s="9" t="s">
        <v>453</v>
      </c>
      <c r="D11" s="9" t="s">
        <v>96</v>
      </c>
      <c r="E11" s="4" t="s">
        <v>369</v>
      </c>
      <c r="F11" s="9" t="s">
        <v>91</v>
      </c>
      <c r="G11" s="9" t="s">
        <v>97</v>
      </c>
      <c r="H11" s="9" t="s">
        <v>98</v>
      </c>
      <c r="I11" s="9">
        <v>1</v>
      </c>
      <c r="J11" s="9" t="s">
        <v>96</v>
      </c>
      <c r="K11" s="38" cm="1">
        <f t="array" ref="K11">_xlfn.IFS(H11="EL-2201",999,'Raw Sales Data'!H11="EL-2205",1299,'Raw Sales Data'!H11="EL-2210",1099,'Raw Sales Data'!H11="CL-1102",89,'Raw Sales Data'!H11="CL-1108",79,'Raw Sales Data'!H11="CL-1120",95,'Raw Sales Data'!H11="HA-3301",549,'Raw Sales Data'!H11="HA-3305",399,'Raw Sales Data'!H11="HA-3308",129,'Raw Sales Data'!H11="BE-4401",42,'Raw Sales Data'!H11="BE-4402",125,'Raw Sales Data'!H11="BE-4408",58,'Raw Sales Data'!H11="SP-5501",1495,'Raw Sales Data'!H11="SP-5505",299,'Raw Sales Data'!H11="SP-5510",249)</f>
        <v>129</v>
      </c>
      <c r="L11" s="9" t="s">
        <v>99</v>
      </c>
      <c r="M11" s="40">
        <f t="shared" si="0"/>
        <v>129</v>
      </c>
      <c r="N11" s="9" t="s">
        <v>64</v>
      </c>
      <c r="O11" s="9" t="s">
        <v>58</v>
      </c>
    </row>
    <row r="12" spans="1:15" ht="14.1" customHeight="1" x14ac:dyDescent="0.2">
      <c r="A12" s="7" t="s">
        <v>100</v>
      </c>
      <c r="B12" s="7" t="s">
        <v>101</v>
      </c>
      <c r="C12" s="7" t="s">
        <v>454</v>
      </c>
      <c r="D12" s="7" t="s">
        <v>102</v>
      </c>
      <c r="E12" s="8" t="s">
        <v>103</v>
      </c>
      <c r="F12" s="7" t="s">
        <v>91</v>
      </c>
      <c r="G12" s="7" t="s">
        <v>97</v>
      </c>
      <c r="H12" s="7" t="s">
        <v>104</v>
      </c>
      <c r="I12" s="7">
        <v>2</v>
      </c>
      <c r="J12" s="7" t="s">
        <v>102</v>
      </c>
      <c r="K12" s="7" cm="1">
        <f t="array" ref="K12">_xlfn.IFS(H12="EL-2201",999,'Raw Sales Data'!H12="EL-2205",1299,'Raw Sales Data'!H12="EL-2210",1099,'Raw Sales Data'!H12="CL-1102",89,'Raw Sales Data'!H12="CL-1108",79,'Raw Sales Data'!H12="CL-1120",95,'Raw Sales Data'!H12="HA-3301",549,'Raw Sales Data'!H12="HA-3305",399,'Raw Sales Data'!H12="HA-3308",129,'Raw Sales Data'!H12="BE-4401",42,'Raw Sales Data'!H12="BE-4402",125,'Raw Sales Data'!H12="BE-4408",58,'Raw Sales Data'!H12="SP-5501",1495,'Raw Sales Data'!H12="SP-5505",299,'Raw Sales Data'!H12="SP-5510",249)</f>
        <v>42</v>
      </c>
      <c r="L12" s="7" t="s">
        <v>105</v>
      </c>
      <c r="M12" s="39">
        <f t="shared" si="0"/>
        <v>84</v>
      </c>
      <c r="N12" s="7" t="s">
        <v>70</v>
      </c>
      <c r="O12" s="7" t="s">
        <v>58</v>
      </c>
    </row>
    <row r="13" spans="1:15" ht="14.1" customHeight="1" x14ac:dyDescent="0.2">
      <c r="A13" s="9" t="s">
        <v>106</v>
      </c>
      <c r="B13" s="9" t="s">
        <v>105</v>
      </c>
      <c r="C13" s="9" t="s">
        <v>454</v>
      </c>
      <c r="D13" s="9" t="s">
        <v>107</v>
      </c>
      <c r="E13" s="4" t="s">
        <v>363</v>
      </c>
      <c r="F13" s="9" t="s">
        <v>108</v>
      </c>
      <c r="G13" s="9" t="s">
        <v>109</v>
      </c>
      <c r="H13" s="9" t="s">
        <v>110</v>
      </c>
      <c r="I13" s="9">
        <v>1</v>
      </c>
      <c r="J13" s="9" t="s">
        <v>107</v>
      </c>
      <c r="K13" s="38" cm="1">
        <f t="array" ref="K13">_xlfn.IFS(H13="EL-2201",999,'Raw Sales Data'!H13="EL-2205",1299,'Raw Sales Data'!H13="EL-2210",1099,'Raw Sales Data'!H13="CL-1102",89,'Raw Sales Data'!H13="CL-1108",79,'Raw Sales Data'!H13="CL-1120",95,'Raw Sales Data'!H13="HA-3301",549,'Raw Sales Data'!H13="HA-3305",399,'Raw Sales Data'!H13="HA-3308",129,'Raw Sales Data'!H13="BE-4401",42,'Raw Sales Data'!H13="BE-4402",125,'Raw Sales Data'!H13="BE-4408",58,'Raw Sales Data'!H13="SP-5501",1495,'Raw Sales Data'!H13="SP-5505",299,'Raw Sales Data'!H13="SP-5510",249)</f>
        <v>125</v>
      </c>
      <c r="L13" s="9" t="s">
        <v>111</v>
      </c>
      <c r="M13" s="40">
        <f t="shared" si="0"/>
        <v>125</v>
      </c>
      <c r="N13" s="9" t="s">
        <v>57</v>
      </c>
      <c r="O13" s="9" t="s">
        <v>58</v>
      </c>
    </row>
    <row r="14" spans="1:15" ht="14.1" customHeight="1" x14ac:dyDescent="0.2">
      <c r="A14" s="7" t="s">
        <v>112</v>
      </c>
      <c r="B14" s="7" t="s">
        <v>111</v>
      </c>
      <c r="C14" s="7" t="s">
        <v>454</v>
      </c>
      <c r="D14" s="7" t="s">
        <v>53</v>
      </c>
      <c r="E14" s="8" t="s">
        <v>54</v>
      </c>
      <c r="F14" s="7" t="s">
        <v>108</v>
      </c>
      <c r="G14" s="7" t="s">
        <v>109</v>
      </c>
      <c r="H14" s="7" t="s">
        <v>113</v>
      </c>
      <c r="I14" s="7">
        <v>2</v>
      </c>
      <c r="J14" s="7" t="s">
        <v>53</v>
      </c>
      <c r="K14" s="7" cm="1">
        <f t="array" ref="K14">_xlfn.IFS(H14="EL-2201",999,'Raw Sales Data'!H14="EL-2205",1299,'Raw Sales Data'!H14="EL-2210",1099,'Raw Sales Data'!H14="CL-1102",89,'Raw Sales Data'!H14="CL-1108",79,'Raw Sales Data'!H14="CL-1120",95,'Raw Sales Data'!H14="HA-3301",549,'Raw Sales Data'!H14="HA-3305",399,'Raw Sales Data'!H14="HA-3308",129,'Raw Sales Data'!H14="BE-4401",42,'Raw Sales Data'!H14="BE-4402",125,'Raw Sales Data'!H14="BE-4408",58,'Raw Sales Data'!H14="SP-5501",1495,'Raw Sales Data'!H14="SP-5505",299,'Raw Sales Data'!H14="SP-5510",249)</f>
        <v>58</v>
      </c>
      <c r="L14" s="7" t="s">
        <v>114</v>
      </c>
      <c r="M14" s="39">
        <f t="shared" si="0"/>
        <v>116</v>
      </c>
      <c r="N14" s="7" t="s">
        <v>64</v>
      </c>
      <c r="O14" s="7" t="s">
        <v>115</v>
      </c>
    </row>
    <row r="15" spans="1:15" ht="14.1" customHeight="1" x14ac:dyDescent="0.2">
      <c r="A15" s="9" t="s">
        <v>116</v>
      </c>
      <c r="B15" s="9" t="s">
        <v>117</v>
      </c>
      <c r="C15" s="9" t="s">
        <v>454</v>
      </c>
      <c r="D15" s="9" t="s">
        <v>61</v>
      </c>
      <c r="E15" s="4" t="s">
        <v>365</v>
      </c>
      <c r="F15" s="9" t="s">
        <v>118</v>
      </c>
      <c r="G15" s="9" t="s">
        <v>119</v>
      </c>
      <c r="H15" s="9" t="s">
        <v>120</v>
      </c>
      <c r="I15" s="9">
        <v>1</v>
      </c>
      <c r="J15" s="9" t="s">
        <v>61</v>
      </c>
      <c r="K15" s="38" cm="1">
        <f t="array" ref="K15">_xlfn.IFS(H15="EL-2201",999,'Raw Sales Data'!H15="EL-2205",1299,'Raw Sales Data'!H15="EL-2210",1099,'Raw Sales Data'!H15="CL-1102",89,'Raw Sales Data'!H15="CL-1108",79,'Raw Sales Data'!H15="CL-1120",95,'Raw Sales Data'!H15="HA-3301",549,'Raw Sales Data'!H15="HA-3305",399,'Raw Sales Data'!H15="HA-3308",129,'Raw Sales Data'!H15="BE-4401",42,'Raw Sales Data'!H15="BE-4402",125,'Raw Sales Data'!H15="BE-4408",58,'Raw Sales Data'!H15="SP-5501",1495,'Raw Sales Data'!H15="SP-5505",299,'Raw Sales Data'!H15="SP-5510",249)</f>
        <v>1495</v>
      </c>
      <c r="L15" s="9" t="s">
        <v>121</v>
      </c>
      <c r="M15" s="40">
        <f t="shared" si="0"/>
        <v>1495</v>
      </c>
      <c r="N15" s="9" t="s">
        <v>70</v>
      </c>
      <c r="O15" s="9" t="s">
        <v>58</v>
      </c>
    </row>
    <row r="16" spans="1:15" ht="14.1" customHeight="1" x14ac:dyDescent="0.2">
      <c r="A16" s="7" t="s">
        <v>122</v>
      </c>
      <c r="B16" s="7" t="s">
        <v>123</v>
      </c>
      <c r="C16" s="7" t="s">
        <v>454</v>
      </c>
      <c r="D16" s="7" t="s">
        <v>67</v>
      </c>
      <c r="E16" s="8" t="s">
        <v>366</v>
      </c>
      <c r="F16" s="7" t="s">
        <v>118</v>
      </c>
      <c r="G16" s="7" t="s">
        <v>119</v>
      </c>
      <c r="H16" s="7" t="s">
        <v>124</v>
      </c>
      <c r="I16" s="7">
        <v>3</v>
      </c>
      <c r="J16" s="7" t="s">
        <v>67</v>
      </c>
      <c r="K16" s="7" cm="1">
        <f t="array" ref="K16">_xlfn.IFS(H16="EL-2201",999,'Raw Sales Data'!H16="EL-2205",1299,'Raw Sales Data'!H16="EL-2210",1099,'Raw Sales Data'!H16="CL-1102",89,'Raw Sales Data'!H16="CL-1108",79,'Raw Sales Data'!H16="CL-1120",95,'Raw Sales Data'!H16="HA-3301",549,'Raw Sales Data'!H16="HA-3305",399,'Raw Sales Data'!H16="HA-3308",129,'Raw Sales Data'!H16="BE-4401",42,'Raw Sales Data'!H16="BE-4402",125,'Raw Sales Data'!H16="BE-4408",58,'Raw Sales Data'!H16="SP-5501",1495,'Raw Sales Data'!H16="SP-5505",299,'Raw Sales Data'!H16="SP-5510",249)</f>
        <v>299</v>
      </c>
      <c r="L16" s="7" t="s">
        <v>125</v>
      </c>
      <c r="M16" s="39">
        <f t="shared" si="0"/>
        <v>897</v>
      </c>
      <c r="N16" s="7" t="s">
        <v>57</v>
      </c>
      <c r="O16" s="7" t="s">
        <v>58</v>
      </c>
    </row>
    <row r="17" spans="1:17" ht="14.1" customHeight="1" x14ac:dyDescent="0.2">
      <c r="A17" s="9" t="s">
        <v>126</v>
      </c>
      <c r="B17" s="9" t="s">
        <v>125</v>
      </c>
      <c r="C17" s="9" t="s">
        <v>454</v>
      </c>
      <c r="D17" s="9" t="s">
        <v>72</v>
      </c>
      <c r="E17" s="4" t="s">
        <v>367</v>
      </c>
      <c r="F17" s="9" t="s">
        <v>118</v>
      </c>
      <c r="G17" s="9" t="s">
        <v>119</v>
      </c>
      <c r="H17" s="9" t="s">
        <v>127</v>
      </c>
      <c r="I17" s="9">
        <v>1</v>
      </c>
      <c r="J17" s="9" t="s">
        <v>72</v>
      </c>
      <c r="K17" s="38" cm="1">
        <f t="array" ref="K17">_xlfn.IFS(H17="EL-2201",999,'Raw Sales Data'!H17="EL-2205",1299,'Raw Sales Data'!H17="EL-2210",1099,'Raw Sales Data'!H17="CL-1102",89,'Raw Sales Data'!H17="CL-1108",79,'Raw Sales Data'!H17="CL-1120",95,'Raw Sales Data'!H17="HA-3301",549,'Raw Sales Data'!H17="HA-3305",399,'Raw Sales Data'!H17="HA-3308",129,'Raw Sales Data'!H17="BE-4401",42,'Raw Sales Data'!H17="BE-4402",125,'Raw Sales Data'!H17="BE-4408",58,'Raw Sales Data'!H17="SP-5501",1495,'Raw Sales Data'!H17="SP-5505",299,'Raw Sales Data'!H17="SP-5510",249)</f>
        <v>249</v>
      </c>
      <c r="L17" s="9" t="s">
        <v>123</v>
      </c>
      <c r="M17" s="40">
        <f t="shared" si="0"/>
        <v>249</v>
      </c>
      <c r="N17" s="9" t="s">
        <v>64</v>
      </c>
      <c r="O17" s="9" t="s">
        <v>58</v>
      </c>
    </row>
    <row r="18" spans="1:17" ht="14.1" customHeight="1" x14ac:dyDescent="0.2">
      <c r="A18" s="7" t="s">
        <v>128</v>
      </c>
      <c r="B18" s="7" t="s">
        <v>129</v>
      </c>
      <c r="C18" s="7" t="s">
        <v>454</v>
      </c>
      <c r="D18" s="7" t="s">
        <v>78</v>
      </c>
      <c r="E18" s="8" t="s">
        <v>368</v>
      </c>
      <c r="F18" s="7" t="s">
        <v>118</v>
      </c>
      <c r="G18" s="7" t="s">
        <v>119</v>
      </c>
      <c r="H18" s="7" t="s">
        <v>130</v>
      </c>
      <c r="I18" s="7">
        <v>2</v>
      </c>
      <c r="J18" s="7" t="s">
        <v>78</v>
      </c>
      <c r="K18" s="7" cm="1">
        <f t="array" ref="K18">_xlfn.IFS(H18="EL-2201",999,'Raw Sales Data'!H18="EL-2205",1299,'Raw Sales Data'!H18="EL-2210",1099,'Raw Sales Data'!H18="CL-1102",89,'Raw Sales Data'!H18="CL-1108",79,'Raw Sales Data'!H18="CL-1120",95,'Raw Sales Data'!H18="HA-3301",549,'Raw Sales Data'!H18="HA-3305",399,'Raw Sales Data'!H18="HA-3308",129,'Raw Sales Data'!H18="BE-4401",42,'Raw Sales Data'!H18="BE-4402",125,'Raw Sales Data'!H18="BE-4408",58,'Raw Sales Data'!H18="SP-5501",1495,'Raw Sales Data'!H18="SP-5505",299,'Raw Sales Data'!H18="SP-5510",249)</f>
        <v>999</v>
      </c>
      <c r="L18" s="7" t="s">
        <v>131</v>
      </c>
      <c r="M18" s="39">
        <f t="shared" si="0"/>
        <v>1998</v>
      </c>
      <c r="N18" s="7" t="s">
        <v>70</v>
      </c>
      <c r="O18" s="7" t="s">
        <v>58</v>
      </c>
    </row>
    <row r="19" spans="1:17" ht="14.1" customHeight="1" x14ac:dyDescent="0.2">
      <c r="A19" s="9" t="s">
        <v>132</v>
      </c>
      <c r="B19" s="9" t="s">
        <v>133</v>
      </c>
      <c r="C19" s="9" t="s">
        <v>454</v>
      </c>
      <c r="D19" s="9" t="s">
        <v>83</v>
      </c>
      <c r="E19" s="4" t="s">
        <v>84</v>
      </c>
      <c r="F19" s="9" t="s">
        <v>73</v>
      </c>
      <c r="G19" s="9" t="s">
        <v>74</v>
      </c>
      <c r="H19" s="9" t="s">
        <v>55</v>
      </c>
      <c r="I19" s="9">
        <v>1</v>
      </c>
      <c r="J19" s="9" t="s">
        <v>83</v>
      </c>
      <c r="K19" s="38" cm="1">
        <f t="array" ref="K19">_xlfn.IFS(H19="EL-2201",999,'Raw Sales Data'!H19="EL-2205",1299,'Raw Sales Data'!H19="EL-2210",1099,'Raw Sales Data'!H19="CL-1102",89,'Raw Sales Data'!H19="CL-1108",79,'Raw Sales Data'!H19="CL-1120",95,'Raw Sales Data'!H19="HA-3301",549,'Raw Sales Data'!H19="HA-3305",399,'Raw Sales Data'!H19="HA-3308",129,'Raw Sales Data'!H19="BE-4401",42,'Raw Sales Data'!H19="BE-4402",125,'Raw Sales Data'!H19="BE-4408",58,'Raw Sales Data'!H19="SP-5501",1495,'Raw Sales Data'!H19="SP-5505",299,'Raw Sales Data'!H19="SP-5510",249)</f>
        <v>1299</v>
      </c>
      <c r="L19" s="9" t="s">
        <v>134</v>
      </c>
      <c r="M19" s="40">
        <f t="shared" si="0"/>
        <v>1299</v>
      </c>
      <c r="N19" s="9" t="s">
        <v>57</v>
      </c>
      <c r="O19" s="9" t="s">
        <v>58</v>
      </c>
    </row>
    <row r="20" spans="1:17" ht="14.1" customHeight="1" x14ac:dyDescent="0.2">
      <c r="A20" s="7" t="s">
        <v>135</v>
      </c>
      <c r="B20" s="7" t="s">
        <v>136</v>
      </c>
      <c r="C20" s="7" t="s">
        <v>455</v>
      </c>
      <c r="D20" s="7" t="s">
        <v>89</v>
      </c>
      <c r="E20" s="8" t="s">
        <v>90</v>
      </c>
      <c r="F20" s="7" t="s">
        <v>73</v>
      </c>
      <c r="G20" s="7" t="s">
        <v>74</v>
      </c>
      <c r="H20" s="7" t="s">
        <v>62</v>
      </c>
      <c r="I20" s="7" t="s">
        <v>436</v>
      </c>
      <c r="J20" s="7" t="s">
        <v>89</v>
      </c>
      <c r="K20" s="7" cm="1">
        <f t="array" ref="K20">_xlfn.IFS(H20="EL-2201",999,'Raw Sales Data'!H20="EL-2205",1299,'Raw Sales Data'!H20="EL-2210",1099,'Raw Sales Data'!H20="CL-1102",89,'Raw Sales Data'!H20="CL-1108",79,'Raw Sales Data'!H20="CL-1120",95,'Raw Sales Data'!H20="HA-3301",549,'Raw Sales Data'!H20="HA-3305",399,'Raw Sales Data'!H20="HA-3308",129,'Raw Sales Data'!H20="BE-4401",42,'Raw Sales Data'!H20="BE-4402",125,'Raw Sales Data'!H20="BE-4408",58,'Raw Sales Data'!H20="SP-5501",1495,'Raw Sales Data'!H20="SP-5505",299,'Raw Sales Data'!H20="SP-5510",249)</f>
        <v>1099</v>
      </c>
      <c r="L20" s="7" t="s">
        <v>137</v>
      </c>
      <c r="M20" s="39">
        <f t="shared" si="0"/>
        <v>1099</v>
      </c>
      <c r="N20" s="7" t="s">
        <v>64</v>
      </c>
      <c r="O20" s="7" t="s">
        <v>58</v>
      </c>
    </row>
    <row r="21" spans="1:17" ht="14.1" customHeight="1" x14ac:dyDescent="0.2">
      <c r="A21" s="9" t="s">
        <v>138</v>
      </c>
      <c r="B21" s="9" t="s">
        <v>139</v>
      </c>
      <c r="C21" s="9" t="s">
        <v>455</v>
      </c>
      <c r="D21" s="9" t="s">
        <v>96</v>
      </c>
      <c r="E21" s="4" t="s">
        <v>369</v>
      </c>
      <c r="F21" s="9" t="s">
        <v>73</v>
      </c>
      <c r="G21" s="9" t="s">
        <v>85</v>
      </c>
      <c r="H21" s="9" t="s">
        <v>68</v>
      </c>
      <c r="I21" s="9">
        <v>1</v>
      </c>
      <c r="J21" s="9" t="s">
        <v>96</v>
      </c>
      <c r="K21" s="38" cm="1">
        <f t="array" ref="K21">_xlfn.IFS(H21="EL-2201",999,'Raw Sales Data'!H21="EL-2205",1299,'Raw Sales Data'!H21="EL-2210",1099,'Raw Sales Data'!H21="CL-1102",89,'Raw Sales Data'!H21="CL-1108",79,'Raw Sales Data'!H21="CL-1120",95,'Raw Sales Data'!H21="HA-3301",549,'Raw Sales Data'!H21="HA-3305",399,'Raw Sales Data'!H21="HA-3308",129,'Raw Sales Data'!H21="BE-4401",42,'Raw Sales Data'!H21="BE-4402",125,'Raw Sales Data'!H21="BE-4408",58,'Raw Sales Data'!H21="SP-5501",1495,'Raw Sales Data'!H21="SP-5505",299,'Raw Sales Data'!H21="SP-5510",249)</f>
        <v>89</v>
      </c>
      <c r="L21" s="9" t="s">
        <v>140</v>
      </c>
      <c r="M21" s="40">
        <f t="shared" si="0"/>
        <v>89</v>
      </c>
      <c r="N21" s="9" t="s">
        <v>70</v>
      </c>
      <c r="O21" s="9" t="s">
        <v>58</v>
      </c>
      <c r="Q21" s="38"/>
    </row>
    <row r="22" spans="1:17" ht="14.1" customHeight="1" x14ac:dyDescent="0.2">
      <c r="A22" s="7" t="s">
        <v>141</v>
      </c>
      <c r="B22" s="7" t="s">
        <v>142</v>
      </c>
      <c r="C22" s="7" t="s">
        <v>455</v>
      </c>
      <c r="D22" s="7" t="s">
        <v>102</v>
      </c>
      <c r="E22" s="8" t="s">
        <v>103</v>
      </c>
      <c r="F22" s="7" t="s">
        <v>91</v>
      </c>
      <c r="G22" s="7" t="s">
        <v>85</v>
      </c>
      <c r="H22" s="7" t="s">
        <v>75</v>
      </c>
      <c r="I22" s="7">
        <v>2</v>
      </c>
      <c r="J22" s="7" t="s">
        <v>102</v>
      </c>
      <c r="K22" s="7" cm="1">
        <f t="array" ref="K22">_xlfn.IFS(H22="EL-2201",999,'Raw Sales Data'!H22="EL-2205",1299,'Raw Sales Data'!H22="EL-2210",1099,'Raw Sales Data'!H22="CL-1102",89,'Raw Sales Data'!H22="CL-1108",79,'Raw Sales Data'!H22="CL-1120",95,'Raw Sales Data'!H22="HA-3301",549,'Raw Sales Data'!H22="HA-3305",399,'Raw Sales Data'!H22="HA-3308",129,'Raw Sales Data'!H22="BE-4401",42,'Raw Sales Data'!H22="BE-4402",125,'Raw Sales Data'!H22="BE-4408",58,'Raw Sales Data'!H22="SP-5501",1495,'Raw Sales Data'!H22="SP-5505",299,'Raw Sales Data'!H22="SP-5510",249)</f>
        <v>79</v>
      </c>
      <c r="L22" s="7" t="s">
        <v>143</v>
      </c>
      <c r="M22" s="39">
        <f t="shared" si="0"/>
        <v>158</v>
      </c>
      <c r="N22" s="7" t="s">
        <v>57</v>
      </c>
      <c r="O22" s="7" t="s">
        <v>58</v>
      </c>
      <c r="Q22" s="38"/>
    </row>
    <row r="23" spans="1:17" ht="14.1" customHeight="1" x14ac:dyDescent="0.2">
      <c r="A23" s="9" t="s">
        <v>144</v>
      </c>
      <c r="B23" s="9" t="s">
        <v>143</v>
      </c>
      <c r="C23" s="9" t="s">
        <v>455</v>
      </c>
      <c r="D23" s="9" t="s">
        <v>107</v>
      </c>
      <c r="E23" s="4" t="s">
        <v>363</v>
      </c>
      <c r="F23" s="9" t="s">
        <v>91</v>
      </c>
      <c r="G23" s="9" t="s">
        <v>97</v>
      </c>
      <c r="H23" s="9" t="s">
        <v>79</v>
      </c>
      <c r="I23" s="9">
        <v>1</v>
      </c>
      <c r="J23" s="9" t="s">
        <v>107</v>
      </c>
      <c r="K23" s="38" cm="1">
        <f t="array" ref="K23">_xlfn.IFS(H23="EL-2201",999,'Raw Sales Data'!H23="EL-2205",1299,'Raw Sales Data'!H23="EL-2210",1099,'Raw Sales Data'!H23="CL-1102",89,'Raw Sales Data'!H23="CL-1108",79,'Raw Sales Data'!H23="CL-1120",95,'Raw Sales Data'!H23="HA-3301",549,'Raw Sales Data'!H23="HA-3305",399,'Raw Sales Data'!H23="HA-3308",129,'Raw Sales Data'!H23="BE-4401",42,'Raw Sales Data'!H23="BE-4402",125,'Raw Sales Data'!H23="BE-4408",58,'Raw Sales Data'!H23="SP-5501",1495,'Raw Sales Data'!H23="SP-5505",299,'Raw Sales Data'!H23="SP-5510",249)</f>
        <v>95</v>
      </c>
      <c r="L23" s="9" t="s">
        <v>145</v>
      </c>
      <c r="M23" s="40">
        <f t="shared" si="0"/>
        <v>95</v>
      </c>
      <c r="N23" s="9" t="s">
        <v>64</v>
      </c>
      <c r="O23" s="9" t="s">
        <v>58</v>
      </c>
      <c r="Q23" s="38"/>
    </row>
    <row r="24" spans="1:17" ht="14.1" customHeight="1" x14ac:dyDescent="0.2">
      <c r="A24" s="7" t="s">
        <v>146</v>
      </c>
      <c r="B24" s="7" t="s">
        <v>145</v>
      </c>
      <c r="C24" s="7" t="s">
        <v>455</v>
      </c>
      <c r="D24" s="7" t="s">
        <v>53</v>
      </c>
      <c r="E24" s="8" t="s">
        <v>54</v>
      </c>
      <c r="F24" s="7" t="s">
        <v>91</v>
      </c>
      <c r="G24" s="7" t="s">
        <v>97</v>
      </c>
      <c r="H24" s="7" t="s">
        <v>86</v>
      </c>
      <c r="I24" s="7">
        <v>2</v>
      </c>
      <c r="J24" s="7" t="s">
        <v>53</v>
      </c>
      <c r="K24" s="7" cm="1">
        <f t="array" ref="K24">_xlfn.IFS(H24="EL-2201",999,'Raw Sales Data'!H24="EL-2205",1299,'Raw Sales Data'!H24="EL-2210",1099,'Raw Sales Data'!H24="CL-1102",89,'Raw Sales Data'!H24="CL-1108",79,'Raw Sales Data'!H24="CL-1120",95,'Raw Sales Data'!H24="HA-3301",549,'Raw Sales Data'!H24="HA-3305",399,'Raw Sales Data'!H24="HA-3308",129,'Raw Sales Data'!H24="BE-4401",42,'Raw Sales Data'!H24="BE-4402",125,'Raw Sales Data'!H24="BE-4408",58,'Raw Sales Data'!H24="SP-5501",1495,'Raw Sales Data'!H24="SP-5505",299,'Raw Sales Data'!H24="SP-5510",249)</f>
        <v>549</v>
      </c>
      <c r="L24" s="7" t="s">
        <v>147</v>
      </c>
      <c r="M24" s="39">
        <f t="shared" si="0"/>
        <v>1098</v>
      </c>
      <c r="N24" s="7" t="s">
        <v>70</v>
      </c>
      <c r="O24" s="7" t="s">
        <v>58</v>
      </c>
      <c r="Q24" s="38"/>
    </row>
    <row r="25" spans="1:17" ht="14.1" customHeight="1" x14ac:dyDescent="0.2">
      <c r="A25" s="9" t="s">
        <v>148</v>
      </c>
      <c r="B25" s="9" t="s">
        <v>149</v>
      </c>
      <c r="C25" s="9" t="s">
        <v>455</v>
      </c>
      <c r="D25" s="9" t="s">
        <v>61</v>
      </c>
      <c r="E25" s="4" t="s">
        <v>365</v>
      </c>
      <c r="F25" s="9" t="s">
        <v>108</v>
      </c>
      <c r="G25" s="9" t="s">
        <v>109</v>
      </c>
      <c r="H25" s="9" t="s">
        <v>92</v>
      </c>
      <c r="I25" s="9">
        <v>1</v>
      </c>
      <c r="J25" s="9" t="s">
        <v>61</v>
      </c>
      <c r="K25" s="38" cm="1">
        <f t="array" ref="K25">_xlfn.IFS(H25="EL-2201",999,'Raw Sales Data'!H25="EL-2205",1299,'Raw Sales Data'!H25="EL-2210",1099,'Raw Sales Data'!H25="CL-1102",89,'Raw Sales Data'!H25="CL-1108",79,'Raw Sales Data'!H25="CL-1120",95,'Raw Sales Data'!H25="HA-3301",549,'Raw Sales Data'!H25="HA-3305",399,'Raw Sales Data'!H25="HA-3308",129,'Raw Sales Data'!H25="BE-4401",42,'Raw Sales Data'!H25="BE-4402",125,'Raw Sales Data'!H25="BE-4408",58,'Raw Sales Data'!H25="SP-5501",1495,'Raw Sales Data'!H25="SP-5505",299,'Raw Sales Data'!H25="SP-5510",249)</f>
        <v>399</v>
      </c>
      <c r="L25" s="9" t="s">
        <v>150</v>
      </c>
      <c r="M25" s="40">
        <f t="shared" si="0"/>
        <v>399</v>
      </c>
      <c r="N25" s="9" t="s">
        <v>57</v>
      </c>
      <c r="O25" s="9" t="s">
        <v>115</v>
      </c>
      <c r="Q25" s="38"/>
    </row>
    <row r="26" spans="1:17" ht="14.1" customHeight="1" x14ac:dyDescent="0.2">
      <c r="A26" s="7" t="s">
        <v>151</v>
      </c>
      <c r="B26" s="7" t="s">
        <v>152</v>
      </c>
      <c r="C26" s="7" t="s">
        <v>455</v>
      </c>
      <c r="D26" s="7" t="s">
        <v>67</v>
      </c>
      <c r="E26" s="8" t="s">
        <v>366</v>
      </c>
      <c r="F26" s="7" t="s">
        <v>108</v>
      </c>
      <c r="G26" s="7" t="s">
        <v>109</v>
      </c>
      <c r="H26" s="7" t="s">
        <v>98</v>
      </c>
      <c r="I26" s="7">
        <v>3</v>
      </c>
      <c r="J26" s="7" t="s">
        <v>67</v>
      </c>
      <c r="K26" s="7" cm="1">
        <f t="array" ref="K26">_xlfn.IFS(H26="EL-2201",999,'Raw Sales Data'!H26="EL-2205",1299,'Raw Sales Data'!H26="EL-2210",1099,'Raw Sales Data'!H26="CL-1102",89,'Raw Sales Data'!H26="CL-1108",79,'Raw Sales Data'!H26="CL-1120",95,'Raw Sales Data'!H26="HA-3301",549,'Raw Sales Data'!H26="HA-3305",399,'Raw Sales Data'!H26="HA-3308",129,'Raw Sales Data'!H26="BE-4401",42,'Raw Sales Data'!H26="BE-4402",125,'Raw Sales Data'!H26="BE-4408",58,'Raw Sales Data'!H26="SP-5501",1495,'Raw Sales Data'!H26="SP-5505",299,'Raw Sales Data'!H26="SP-5510",249)</f>
        <v>129</v>
      </c>
      <c r="L26" s="7" t="s">
        <v>153</v>
      </c>
      <c r="M26" s="39">
        <f t="shared" si="0"/>
        <v>387</v>
      </c>
      <c r="N26" s="7" t="s">
        <v>64</v>
      </c>
      <c r="O26" s="7" t="s">
        <v>58</v>
      </c>
      <c r="Q26" s="38"/>
    </row>
    <row r="27" spans="1:17" ht="14.1" customHeight="1" x14ac:dyDescent="0.2">
      <c r="A27" s="9" t="s">
        <v>154</v>
      </c>
      <c r="B27" s="9" t="s">
        <v>153</v>
      </c>
      <c r="C27" s="9" t="s">
        <v>455</v>
      </c>
      <c r="D27" s="9" t="s">
        <v>72</v>
      </c>
      <c r="E27" s="4" t="s">
        <v>367</v>
      </c>
      <c r="F27" s="9" t="s">
        <v>118</v>
      </c>
      <c r="G27" s="9" t="s">
        <v>119</v>
      </c>
      <c r="H27" s="9" t="s">
        <v>104</v>
      </c>
      <c r="I27" s="9">
        <v>1</v>
      </c>
      <c r="J27" s="9" t="s">
        <v>72</v>
      </c>
      <c r="K27" s="38" cm="1">
        <f t="array" ref="K27">_xlfn.IFS(H27="EL-2201",999,'Raw Sales Data'!H27="EL-2205",1299,'Raw Sales Data'!H27="EL-2210",1099,'Raw Sales Data'!H27="CL-1102",89,'Raw Sales Data'!H27="CL-1108",79,'Raw Sales Data'!H27="CL-1120",95,'Raw Sales Data'!H27="HA-3301",549,'Raw Sales Data'!H27="HA-3305",399,'Raw Sales Data'!H27="HA-3308",129,'Raw Sales Data'!H27="BE-4401",42,'Raw Sales Data'!H27="BE-4402",125,'Raw Sales Data'!H27="BE-4408",58,'Raw Sales Data'!H27="SP-5501",1495,'Raw Sales Data'!H27="SP-5505",299,'Raw Sales Data'!H27="SP-5510",249)</f>
        <v>42</v>
      </c>
      <c r="L27" s="9" t="s">
        <v>152</v>
      </c>
      <c r="M27" s="40">
        <f t="shared" si="0"/>
        <v>42</v>
      </c>
      <c r="N27" s="9" t="s">
        <v>70</v>
      </c>
      <c r="O27" s="9" t="s">
        <v>58</v>
      </c>
      <c r="Q27" s="38"/>
    </row>
    <row r="28" spans="1:17" ht="14.1" customHeight="1" x14ac:dyDescent="0.2">
      <c r="A28" s="7" t="s">
        <v>155</v>
      </c>
      <c r="B28" s="7" t="s">
        <v>156</v>
      </c>
      <c r="C28" s="7" t="s">
        <v>456</v>
      </c>
      <c r="D28" s="7" t="s">
        <v>78</v>
      </c>
      <c r="E28" s="8" t="s">
        <v>368</v>
      </c>
      <c r="F28" s="7" t="s">
        <v>118</v>
      </c>
      <c r="G28" s="7" t="s">
        <v>119</v>
      </c>
      <c r="H28" s="7" t="s">
        <v>110</v>
      </c>
      <c r="I28" s="7">
        <v>2</v>
      </c>
      <c r="J28" s="7" t="s">
        <v>78</v>
      </c>
      <c r="K28" s="7" cm="1">
        <f t="array" ref="K28">_xlfn.IFS(H28="EL-2201",999,'Raw Sales Data'!H28="EL-2205",1299,'Raw Sales Data'!H28="EL-2210",1099,'Raw Sales Data'!H28="CL-1102",89,'Raw Sales Data'!H28="CL-1108",79,'Raw Sales Data'!H28="CL-1120",95,'Raw Sales Data'!H28="HA-3301",549,'Raw Sales Data'!H28="HA-3305",399,'Raw Sales Data'!H28="HA-3308",129,'Raw Sales Data'!H28="BE-4401",42,'Raw Sales Data'!H28="BE-4402",125,'Raw Sales Data'!H28="BE-4408",58,'Raw Sales Data'!H28="SP-5501",1495,'Raw Sales Data'!H28="SP-5505",299,'Raw Sales Data'!H28="SP-5510",249)</f>
        <v>125</v>
      </c>
      <c r="L28" s="7" t="s">
        <v>157</v>
      </c>
      <c r="M28" s="39">
        <f t="shared" si="0"/>
        <v>250</v>
      </c>
      <c r="N28" s="7" t="s">
        <v>57</v>
      </c>
      <c r="O28" s="7" t="s">
        <v>58</v>
      </c>
      <c r="Q28" s="38"/>
    </row>
    <row r="29" spans="1:17" ht="14.1" customHeight="1" x14ac:dyDescent="0.2">
      <c r="A29" s="9" t="s">
        <v>158</v>
      </c>
      <c r="B29" s="9" t="s">
        <v>159</v>
      </c>
      <c r="C29" s="9" t="s">
        <v>456</v>
      </c>
      <c r="D29" s="9" t="s">
        <v>83</v>
      </c>
      <c r="E29" s="4" t="s">
        <v>84</v>
      </c>
      <c r="F29" s="9" t="s">
        <v>118</v>
      </c>
      <c r="G29" s="9" t="s">
        <v>119</v>
      </c>
      <c r="H29" s="9" t="s">
        <v>113</v>
      </c>
      <c r="I29" s="9">
        <v>1</v>
      </c>
      <c r="J29" s="9" t="s">
        <v>83</v>
      </c>
      <c r="K29" s="38" cm="1">
        <f t="array" ref="K29">_xlfn.IFS(H29="EL-2201",999,'Raw Sales Data'!H29="EL-2205",1299,'Raw Sales Data'!H29="EL-2210",1099,'Raw Sales Data'!H29="CL-1102",89,'Raw Sales Data'!H29="CL-1108",79,'Raw Sales Data'!H29="CL-1120",95,'Raw Sales Data'!H29="HA-3301",549,'Raw Sales Data'!H29="HA-3305",399,'Raw Sales Data'!H29="HA-3308",129,'Raw Sales Data'!H29="BE-4401",42,'Raw Sales Data'!H29="BE-4402",125,'Raw Sales Data'!H29="BE-4408",58,'Raw Sales Data'!H29="SP-5501",1495,'Raw Sales Data'!H29="SP-5505",299,'Raw Sales Data'!H29="SP-5510",249)</f>
        <v>58</v>
      </c>
      <c r="L29" s="9" t="s">
        <v>160</v>
      </c>
      <c r="M29" s="40">
        <f t="shared" si="0"/>
        <v>58</v>
      </c>
      <c r="N29" s="9" t="s">
        <v>64</v>
      </c>
      <c r="O29" s="9" t="s">
        <v>58</v>
      </c>
      <c r="Q29" s="38"/>
    </row>
    <row r="30" spans="1:17" ht="14.1" customHeight="1" x14ac:dyDescent="0.2">
      <c r="A30" s="7" t="s">
        <v>161</v>
      </c>
      <c r="B30" s="7" t="s">
        <v>160</v>
      </c>
      <c r="C30" s="7" t="s">
        <v>456</v>
      </c>
      <c r="D30" s="7" t="s">
        <v>89</v>
      </c>
      <c r="E30" s="8" t="s">
        <v>90</v>
      </c>
      <c r="F30" s="7" t="s">
        <v>118</v>
      </c>
      <c r="G30" s="7" t="s">
        <v>119</v>
      </c>
      <c r="H30" s="7" t="s">
        <v>120</v>
      </c>
      <c r="I30" s="7" t="s">
        <v>436</v>
      </c>
      <c r="J30" s="7" t="s">
        <v>89</v>
      </c>
      <c r="K30" s="7" cm="1">
        <f t="array" ref="K30">_xlfn.IFS(H30="EL-2201",999,'Raw Sales Data'!H30="EL-2205",1299,'Raw Sales Data'!H30="EL-2210",1099,'Raw Sales Data'!H30="CL-1102",89,'Raw Sales Data'!H30="CL-1108",79,'Raw Sales Data'!H30="CL-1120",95,'Raw Sales Data'!H30="HA-3301",549,'Raw Sales Data'!H30="HA-3305",399,'Raw Sales Data'!H30="HA-3308",129,'Raw Sales Data'!H30="BE-4401",42,'Raw Sales Data'!H30="BE-4402",125,'Raw Sales Data'!H30="BE-4408",58,'Raw Sales Data'!H30="SP-5501",1495,'Raw Sales Data'!H30="SP-5505",299,'Raw Sales Data'!H30="SP-5510",249)</f>
        <v>1495</v>
      </c>
      <c r="L30" s="7" t="s">
        <v>162</v>
      </c>
      <c r="M30" s="39">
        <f t="shared" si="0"/>
        <v>1495</v>
      </c>
      <c r="N30" s="7" t="s">
        <v>70</v>
      </c>
      <c r="O30" s="7" t="s">
        <v>58</v>
      </c>
      <c r="Q30" s="38"/>
    </row>
    <row r="31" spans="1:17" ht="14.1" customHeight="1" x14ac:dyDescent="0.2">
      <c r="A31" s="9" t="s">
        <v>163</v>
      </c>
      <c r="B31" s="9" t="s">
        <v>164</v>
      </c>
      <c r="C31" s="9" t="s">
        <v>456</v>
      </c>
      <c r="D31" s="9" t="s">
        <v>96</v>
      </c>
      <c r="E31" s="4" t="s">
        <v>369</v>
      </c>
      <c r="F31" s="9" t="s">
        <v>73</v>
      </c>
      <c r="G31" s="9" t="s">
        <v>74</v>
      </c>
      <c r="H31" s="9" t="s">
        <v>124</v>
      </c>
      <c r="I31" s="9">
        <v>1</v>
      </c>
      <c r="J31" s="9" t="s">
        <v>96</v>
      </c>
      <c r="K31" s="38" cm="1">
        <f t="array" ref="K31">_xlfn.IFS(H31="EL-2201",999,'Raw Sales Data'!H31="EL-2205",1299,'Raw Sales Data'!H31="EL-2210",1099,'Raw Sales Data'!H31="CL-1102",89,'Raw Sales Data'!H31="CL-1108",79,'Raw Sales Data'!H31="CL-1120",95,'Raw Sales Data'!H31="HA-3301",549,'Raw Sales Data'!H31="HA-3305",399,'Raw Sales Data'!H31="HA-3308",129,'Raw Sales Data'!H31="BE-4401",42,'Raw Sales Data'!H31="BE-4402",125,'Raw Sales Data'!H31="BE-4408",58,'Raw Sales Data'!H31="SP-5501",1495,'Raw Sales Data'!H31="SP-5505",299,'Raw Sales Data'!H31="SP-5510",249)</f>
        <v>299</v>
      </c>
      <c r="L31" s="9" t="s">
        <v>165</v>
      </c>
      <c r="M31" s="40">
        <f t="shared" si="0"/>
        <v>299</v>
      </c>
      <c r="N31" s="9" t="s">
        <v>57</v>
      </c>
      <c r="O31" s="9" t="s">
        <v>58</v>
      </c>
      <c r="Q31" s="38"/>
    </row>
    <row r="32" spans="1:17" ht="14.1" customHeight="1" x14ac:dyDescent="0.2">
      <c r="A32" s="7" t="s">
        <v>166</v>
      </c>
      <c r="B32" s="7" t="s">
        <v>167</v>
      </c>
      <c r="C32" s="7" t="s">
        <v>456</v>
      </c>
      <c r="D32" s="7" t="s">
        <v>102</v>
      </c>
      <c r="E32" s="8" t="s">
        <v>103</v>
      </c>
      <c r="F32" s="7" t="s">
        <v>73</v>
      </c>
      <c r="G32" s="7" t="s">
        <v>74</v>
      </c>
      <c r="H32" s="7" t="s">
        <v>127</v>
      </c>
      <c r="I32" s="7">
        <v>2</v>
      </c>
      <c r="J32" s="7" t="s">
        <v>102</v>
      </c>
      <c r="K32" s="7" cm="1">
        <f t="array" ref="K32">_xlfn.IFS(H32="EL-2201",999,'Raw Sales Data'!H32="EL-2205",1299,'Raw Sales Data'!H32="EL-2210",1099,'Raw Sales Data'!H32="CL-1102",89,'Raw Sales Data'!H32="CL-1108",79,'Raw Sales Data'!H32="CL-1120",95,'Raw Sales Data'!H32="HA-3301",549,'Raw Sales Data'!H32="HA-3305",399,'Raw Sales Data'!H32="HA-3308",129,'Raw Sales Data'!H32="BE-4401",42,'Raw Sales Data'!H32="BE-4402",125,'Raw Sales Data'!H32="BE-4408",58,'Raw Sales Data'!H32="SP-5501",1495,'Raw Sales Data'!H32="SP-5505",299,'Raw Sales Data'!H32="SP-5510",249)</f>
        <v>249</v>
      </c>
      <c r="L32" s="7" t="s">
        <v>168</v>
      </c>
      <c r="M32" s="39">
        <f t="shared" si="0"/>
        <v>498</v>
      </c>
      <c r="N32" s="7" t="s">
        <v>64</v>
      </c>
      <c r="O32" s="7" t="s">
        <v>58</v>
      </c>
      <c r="Q32" s="38"/>
    </row>
    <row r="33" spans="1:17" ht="14.1" customHeight="1" x14ac:dyDescent="0.2">
      <c r="A33" s="9" t="s">
        <v>169</v>
      </c>
      <c r="B33" s="9" t="s">
        <v>168</v>
      </c>
      <c r="C33" s="9" t="s">
        <v>456</v>
      </c>
      <c r="D33" s="9" t="s">
        <v>107</v>
      </c>
      <c r="E33" s="4" t="s">
        <v>363</v>
      </c>
      <c r="F33" s="9" t="s">
        <v>73</v>
      </c>
      <c r="G33" s="9" t="s">
        <v>85</v>
      </c>
      <c r="H33" s="9" t="s">
        <v>130</v>
      </c>
      <c r="I33" s="9">
        <v>1</v>
      </c>
      <c r="J33" s="9" t="s">
        <v>107</v>
      </c>
      <c r="K33" s="38" cm="1">
        <f t="array" ref="K33">_xlfn.IFS(H33="EL-2201",999,'Raw Sales Data'!H33="EL-2205",1299,'Raw Sales Data'!H33="EL-2210",1099,'Raw Sales Data'!H33="CL-1102",89,'Raw Sales Data'!H33="CL-1108",79,'Raw Sales Data'!H33="CL-1120",95,'Raw Sales Data'!H33="HA-3301",549,'Raw Sales Data'!H33="HA-3305",399,'Raw Sales Data'!H33="HA-3308",129,'Raw Sales Data'!H33="BE-4401",42,'Raw Sales Data'!H33="BE-4402",125,'Raw Sales Data'!H33="BE-4408",58,'Raw Sales Data'!H33="SP-5501",1495,'Raw Sales Data'!H33="SP-5505",299,'Raw Sales Data'!H33="SP-5510",249)</f>
        <v>999</v>
      </c>
      <c r="L33" s="9" t="s">
        <v>170</v>
      </c>
      <c r="M33" s="40">
        <f t="shared" si="0"/>
        <v>999</v>
      </c>
      <c r="N33" s="9" t="s">
        <v>70</v>
      </c>
      <c r="O33" s="9" t="s">
        <v>58</v>
      </c>
      <c r="Q33" s="38"/>
    </row>
    <row r="34" spans="1:17" ht="14.1" customHeight="1" x14ac:dyDescent="0.2">
      <c r="A34" s="7" t="s">
        <v>171</v>
      </c>
      <c r="B34" s="7" t="s">
        <v>170</v>
      </c>
      <c r="C34" s="7" t="s">
        <v>456</v>
      </c>
      <c r="D34" s="7" t="s">
        <v>53</v>
      </c>
      <c r="E34" s="8" t="s">
        <v>54</v>
      </c>
      <c r="F34" s="7" t="s">
        <v>91</v>
      </c>
      <c r="G34" s="7" t="s">
        <v>85</v>
      </c>
      <c r="H34" s="7" t="s">
        <v>55</v>
      </c>
      <c r="I34" s="7">
        <v>2</v>
      </c>
      <c r="J34" s="7" t="s">
        <v>53</v>
      </c>
      <c r="K34" s="7" cm="1">
        <f t="array" ref="K34">_xlfn.IFS(H34="EL-2201",999,'Raw Sales Data'!H34="EL-2205",1299,'Raw Sales Data'!H34="EL-2210",1099,'Raw Sales Data'!H34="CL-1102",89,'Raw Sales Data'!H34="CL-1108",79,'Raw Sales Data'!H34="CL-1120",95,'Raw Sales Data'!H34="HA-3301",549,'Raw Sales Data'!H34="HA-3305",399,'Raw Sales Data'!H34="HA-3308",129,'Raw Sales Data'!H34="BE-4401",42,'Raw Sales Data'!H34="BE-4402",125,'Raw Sales Data'!H34="BE-4408",58,'Raw Sales Data'!H34="SP-5501",1495,'Raw Sales Data'!H34="SP-5505",299,'Raw Sales Data'!H34="SP-5510",249)</f>
        <v>1299</v>
      </c>
      <c r="L34" s="7" t="s">
        <v>172</v>
      </c>
      <c r="M34" s="39">
        <f t="shared" si="0"/>
        <v>2598</v>
      </c>
      <c r="N34" s="7" t="s">
        <v>57</v>
      </c>
      <c r="O34" s="7" t="s">
        <v>58</v>
      </c>
      <c r="Q34" s="38"/>
    </row>
    <row r="35" spans="1:17" ht="14.1" customHeight="1" x14ac:dyDescent="0.2">
      <c r="A35" s="9" t="s">
        <v>173</v>
      </c>
      <c r="B35" s="9" t="s">
        <v>174</v>
      </c>
      <c r="C35" s="9" t="s">
        <v>456</v>
      </c>
      <c r="D35" s="9" t="s">
        <v>61</v>
      </c>
      <c r="E35" s="4" t="s">
        <v>365</v>
      </c>
      <c r="F35" s="9" t="s">
        <v>91</v>
      </c>
      <c r="G35" s="9" t="s">
        <v>97</v>
      </c>
      <c r="H35" s="9" t="s">
        <v>62</v>
      </c>
      <c r="I35" s="9">
        <v>1</v>
      </c>
      <c r="J35" s="9" t="s">
        <v>61</v>
      </c>
      <c r="K35" s="38" cm="1">
        <f t="array" ref="K35">_xlfn.IFS(H35="EL-2201",999,'Raw Sales Data'!H35="EL-2205",1299,'Raw Sales Data'!H35="EL-2210",1099,'Raw Sales Data'!H35="CL-1102",89,'Raw Sales Data'!H35="CL-1108",79,'Raw Sales Data'!H35="CL-1120",95,'Raw Sales Data'!H35="HA-3301",549,'Raw Sales Data'!H35="HA-3305",399,'Raw Sales Data'!H35="HA-3308",129,'Raw Sales Data'!H35="BE-4401",42,'Raw Sales Data'!H35="BE-4402",125,'Raw Sales Data'!H35="BE-4408",58,'Raw Sales Data'!H35="SP-5501",1495,'Raw Sales Data'!H35="SP-5505",299,'Raw Sales Data'!H35="SP-5510",249)</f>
        <v>1099</v>
      </c>
      <c r="L35" s="9" t="s">
        <v>175</v>
      </c>
      <c r="M35" s="40">
        <f t="shared" si="0"/>
        <v>1099</v>
      </c>
      <c r="N35" s="9" t="s">
        <v>64</v>
      </c>
      <c r="O35" s="9" t="s">
        <v>58</v>
      </c>
      <c r="Q35" s="38"/>
    </row>
    <row r="36" spans="1:17" ht="14.1" customHeight="1" x14ac:dyDescent="0.2">
      <c r="A36" s="7" t="s">
        <v>176</v>
      </c>
      <c r="B36" s="7" t="s">
        <v>177</v>
      </c>
      <c r="C36" s="7" t="s">
        <v>457</v>
      </c>
      <c r="D36" s="7" t="s">
        <v>67</v>
      </c>
      <c r="E36" s="8" t="s">
        <v>366</v>
      </c>
      <c r="F36" s="7" t="s">
        <v>91</v>
      </c>
      <c r="G36" s="7" t="s">
        <v>97</v>
      </c>
      <c r="H36" s="7" t="s">
        <v>68</v>
      </c>
      <c r="I36" s="7">
        <v>3</v>
      </c>
      <c r="J36" s="7" t="s">
        <v>67</v>
      </c>
      <c r="K36" s="7" cm="1">
        <f t="array" ref="K36">_xlfn.IFS(H36="EL-2201",999,'Raw Sales Data'!H36="EL-2205",1299,'Raw Sales Data'!H36="EL-2210",1099,'Raw Sales Data'!H36="CL-1102",89,'Raw Sales Data'!H36="CL-1108",79,'Raw Sales Data'!H36="CL-1120",95,'Raw Sales Data'!H36="HA-3301",549,'Raw Sales Data'!H36="HA-3305",399,'Raw Sales Data'!H36="HA-3308",129,'Raw Sales Data'!H36="BE-4401",42,'Raw Sales Data'!H36="BE-4402",125,'Raw Sales Data'!H36="BE-4408",58,'Raw Sales Data'!H36="SP-5501",1495,'Raw Sales Data'!H36="SP-5505",299,'Raw Sales Data'!H36="SP-5510",249)</f>
        <v>89</v>
      </c>
      <c r="L36" s="7" t="s">
        <v>178</v>
      </c>
      <c r="M36" s="39">
        <f t="shared" si="0"/>
        <v>267</v>
      </c>
      <c r="N36" s="7" t="s">
        <v>70</v>
      </c>
      <c r="O36" s="7" t="s">
        <v>115</v>
      </c>
      <c r="Q36" s="38"/>
    </row>
    <row r="37" spans="1:17" ht="14.1" customHeight="1" x14ac:dyDescent="0.2">
      <c r="A37" s="9" t="s">
        <v>179</v>
      </c>
      <c r="B37" s="9" t="s">
        <v>178</v>
      </c>
      <c r="C37" s="9" t="s">
        <v>457</v>
      </c>
      <c r="D37" s="9" t="s">
        <v>72</v>
      </c>
      <c r="E37" s="4" t="s">
        <v>367</v>
      </c>
      <c r="F37" s="9" t="s">
        <v>108</v>
      </c>
      <c r="G37" s="9" t="s">
        <v>109</v>
      </c>
      <c r="H37" s="9" t="s">
        <v>75</v>
      </c>
      <c r="I37" s="9">
        <v>1</v>
      </c>
      <c r="J37" s="9" t="s">
        <v>72</v>
      </c>
      <c r="K37" s="38" cm="1">
        <f t="array" ref="K37">_xlfn.IFS(H37="EL-2201",999,'Raw Sales Data'!H37="EL-2205",1299,'Raw Sales Data'!H37="EL-2210",1099,'Raw Sales Data'!H37="CL-1102",89,'Raw Sales Data'!H37="CL-1108",79,'Raw Sales Data'!H37="CL-1120",95,'Raw Sales Data'!H37="HA-3301",549,'Raw Sales Data'!H37="HA-3305",399,'Raw Sales Data'!H37="HA-3308",129,'Raw Sales Data'!H37="BE-4401",42,'Raw Sales Data'!H37="BE-4402",125,'Raw Sales Data'!H37="BE-4408",58,'Raw Sales Data'!H37="SP-5501",1495,'Raw Sales Data'!H37="SP-5505",299,'Raw Sales Data'!H37="SP-5510",249)</f>
        <v>79</v>
      </c>
      <c r="L37" s="9" t="s">
        <v>177</v>
      </c>
      <c r="M37" s="40">
        <f t="shared" si="0"/>
        <v>79</v>
      </c>
      <c r="N37" s="9" t="s">
        <v>57</v>
      </c>
      <c r="O37" s="9" t="s">
        <v>58</v>
      </c>
      <c r="Q37" s="38"/>
    </row>
    <row r="38" spans="1:17" ht="14.1" customHeight="1" x14ac:dyDescent="0.2">
      <c r="A38" s="7" t="s">
        <v>180</v>
      </c>
      <c r="B38" s="7" t="s">
        <v>181</v>
      </c>
      <c r="C38" s="7" t="s">
        <v>457</v>
      </c>
      <c r="D38" s="7" t="s">
        <v>78</v>
      </c>
      <c r="E38" s="8" t="s">
        <v>368</v>
      </c>
      <c r="F38" s="7" t="s">
        <v>108</v>
      </c>
      <c r="G38" s="7" t="s">
        <v>109</v>
      </c>
      <c r="H38" s="7" t="s">
        <v>79</v>
      </c>
      <c r="I38" s="7">
        <v>2</v>
      </c>
      <c r="J38" s="7" t="s">
        <v>78</v>
      </c>
      <c r="K38" s="7" cm="1">
        <f t="array" ref="K38">_xlfn.IFS(H38="EL-2201",999,'Raw Sales Data'!H38="EL-2205",1299,'Raw Sales Data'!H38="EL-2210",1099,'Raw Sales Data'!H38="CL-1102",89,'Raw Sales Data'!H38="CL-1108",79,'Raw Sales Data'!H38="CL-1120",95,'Raw Sales Data'!H38="HA-3301",549,'Raw Sales Data'!H38="HA-3305",399,'Raw Sales Data'!H38="HA-3308",129,'Raw Sales Data'!H38="BE-4401",42,'Raw Sales Data'!H38="BE-4402",125,'Raw Sales Data'!H38="BE-4408",58,'Raw Sales Data'!H38="SP-5501",1495,'Raw Sales Data'!H38="SP-5505",299,'Raw Sales Data'!H38="SP-5510",249)</f>
        <v>95</v>
      </c>
      <c r="L38" s="7" t="s">
        <v>182</v>
      </c>
      <c r="M38" s="39">
        <f t="shared" si="0"/>
        <v>190</v>
      </c>
      <c r="N38" s="7" t="s">
        <v>64</v>
      </c>
      <c r="O38" s="7" t="s">
        <v>58</v>
      </c>
      <c r="Q38" s="38"/>
    </row>
    <row r="39" spans="1:17" ht="14.1" customHeight="1" x14ac:dyDescent="0.2">
      <c r="A39" s="9" t="s">
        <v>183</v>
      </c>
      <c r="B39" s="9" t="s">
        <v>184</v>
      </c>
      <c r="C39" s="9" t="s">
        <v>457</v>
      </c>
      <c r="D39" s="9" t="s">
        <v>83</v>
      </c>
      <c r="E39" s="4" t="s">
        <v>84</v>
      </c>
      <c r="F39" s="9" t="s">
        <v>118</v>
      </c>
      <c r="G39" s="9" t="s">
        <v>119</v>
      </c>
      <c r="H39" s="9" t="s">
        <v>86</v>
      </c>
      <c r="I39" s="9">
        <v>1</v>
      </c>
      <c r="J39" s="9" t="s">
        <v>83</v>
      </c>
      <c r="K39" s="38" cm="1">
        <f t="array" ref="K39">_xlfn.IFS(H39="EL-2201",999,'Raw Sales Data'!H39="EL-2205",1299,'Raw Sales Data'!H39="EL-2210",1099,'Raw Sales Data'!H39="CL-1102",89,'Raw Sales Data'!H39="CL-1108",79,'Raw Sales Data'!H39="CL-1120",95,'Raw Sales Data'!H39="HA-3301",549,'Raw Sales Data'!H39="HA-3305",399,'Raw Sales Data'!H39="HA-3308",129,'Raw Sales Data'!H39="BE-4401",42,'Raw Sales Data'!H39="BE-4402",125,'Raw Sales Data'!H39="BE-4408",58,'Raw Sales Data'!H39="SP-5501",1495,'Raw Sales Data'!H39="SP-5505",299,'Raw Sales Data'!H39="SP-5510",249)</f>
        <v>549</v>
      </c>
      <c r="L39" s="9" t="s">
        <v>185</v>
      </c>
      <c r="M39" s="40">
        <f t="shared" si="0"/>
        <v>549</v>
      </c>
      <c r="N39" s="9" t="s">
        <v>70</v>
      </c>
      <c r="O39" s="9" t="s">
        <v>58</v>
      </c>
      <c r="Q39" s="38"/>
    </row>
    <row r="40" spans="1:17" ht="14.1" customHeight="1" x14ac:dyDescent="0.2">
      <c r="A40" s="7" t="s">
        <v>186</v>
      </c>
      <c r="B40" s="7" t="s">
        <v>185</v>
      </c>
      <c r="C40" s="7" t="s">
        <v>457</v>
      </c>
      <c r="D40" s="7" t="s">
        <v>89</v>
      </c>
      <c r="E40" s="8" t="s">
        <v>90</v>
      </c>
      <c r="F40" s="7" t="s">
        <v>118</v>
      </c>
      <c r="G40" s="7" t="s">
        <v>119</v>
      </c>
      <c r="H40" s="7" t="s">
        <v>92</v>
      </c>
      <c r="I40" s="7" t="s">
        <v>436</v>
      </c>
      <c r="J40" s="7" t="s">
        <v>89</v>
      </c>
      <c r="K40" s="7" cm="1">
        <f t="array" ref="K40">_xlfn.IFS(H40="EL-2201",999,'Raw Sales Data'!H40="EL-2205",1299,'Raw Sales Data'!H40="EL-2210",1099,'Raw Sales Data'!H40="CL-1102",89,'Raw Sales Data'!H40="CL-1108",79,'Raw Sales Data'!H40="CL-1120",95,'Raw Sales Data'!H40="HA-3301",549,'Raw Sales Data'!H40="HA-3305",399,'Raw Sales Data'!H40="HA-3308",129,'Raw Sales Data'!H40="BE-4401",42,'Raw Sales Data'!H40="BE-4402",125,'Raw Sales Data'!H40="BE-4408",58,'Raw Sales Data'!H40="SP-5501",1495,'Raw Sales Data'!H40="SP-5505",299,'Raw Sales Data'!H40="SP-5510",249)</f>
        <v>399</v>
      </c>
      <c r="L40" s="7" t="s">
        <v>187</v>
      </c>
      <c r="M40" s="39">
        <f t="shared" si="0"/>
        <v>399</v>
      </c>
      <c r="N40" s="7" t="s">
        <v>57</v>
      </c>
      <c r="O40" s="7" t="s">
        <v>58</v>
      </c>
      <c r="Q40" s="38"/>
    </row>
    <row r="41" spans="1:17" ht="14.1" customHeight="1" x14ac:dyDescent="0.2">
      <c r="A41" s="9" t="s">
        <v>188</v>
      </c>
      <c r="B41" s="9" t="s">
        <v>189</v>
      </c>
      <c r="C41" s="9" t="s">
        <v>457</v>
      </c>
      <c r="D41" s="9" t="s">
        <v>96</v>
      </c>
      <c r="E41" s="4" t="s">
        <v>369</v>
      </c>
      <c r="F41" s="9" t="s">
        <v>118</v>
      </c>
      <c r="G41" s="9" t="s">
        <v>119</v>
      </c>
      <c r="H41" s="9" t="s">
        <v>98</v>
      </c>
      <c r="I41" s="9">
        <v>1</v>
      </c>
      <c r="J41" s="9" t="s">
        <v>96</v>
      </c>
      <c r="K41" s="38" cm="1">
        <f t="array" ref="K41">_xlfn.IFS(H41="EL-2201",999,'Raw Sales Data'!H41="EL-2205",1299,'Raw Sales Data'!H41="EL-2210",1099,'Raw Sales Data'!H41="CL-1102",89,'Raw Sales Data'!H41="CL-1108",79,'Raw Sales Data'!H41="CL-1120",95,'Raw Sales Data'!H41="HA-3301",549,'Raw Sales Data'!H41="HA-3305",399,'Raw Sales Data'!H41="HA-3308",129,'Raw Sales Data'!H41="BE-4401",42,'Raw Sales Data'!H41="BE-4402",125,'Raw Sales Data'!H41="BE-4408",58,'Raw Sales Data'!H41="SP-5501",1495,'Raw Sales Data'!H41="SP-5505",299,'Raw Sales Data'!H41="SP-5510",249)</f>
        <v>129</v>
      </c>
      <c r="L41" s="9" t="s">
        <v>190</v>
      </c>
      <c r="M41" s="40">
        <f t="shared" si="0"/>
        <v>129</v>
      </c>
      <c r="N41" s="9" t="s">
        <v>64</v>
      </c>
      <c r="O41" s="9" t="s">
        <v>58</v>
      </c>
      <c r="Q41" s="38"/>
    </row>
    <row r="42" spans="1:17" ht="14.1" customHeight="1" x14ac:dyDescent="0.2">
      <c r="A42" s="7" t="s">
        <v>191</v>
      </c>
      <c r="B42" s="7" t="s">
        <v>192</v>
      </c>
      <c r="C42" s="7" t="s">
        <v>457</v>
      </c>
      <c r="D42" s="7" t="s">
        <v>102</v>
      </c>
      <c r="E42" s="8" t="s">
        <v>103</v>
      </c>
      <c r="F42" s="7" t="s">
        <v>118</v>
      </c>
      <c r="G42" s="7" t="s">
        <v>119</v>
      </c>
      <c r="H42" s="7" t="s">
        <v>104</v>
      </c>
      <c r="I42" s="7">
        <v>2</v>
      </c>
      <c r="J42" s="7" t="s">
        <v>102</v>
      </c>
      <c r="K42" s="7" cm="1">
        <f t="array" ref="K42">_xlfn.IFS(H42="EL-2201",999,'Raw Sales Data'!H42="EL-2205",1299,'Raw Sales Data'!H42="EL-2210",1099,'Raw Sales Data'!H42="CL-1102",89,'Raw Sales Data'!H42="CL-1108",79,'Raw Sales Data'!H42="CL-1120",95,'Raw Sales Data'!H42="HA-3301",549,'Raw Sales Data'!H42="HA-3305",399,'Raw Sales Data'!H42="HA-3308",129,'Raw Sales Data'!H42="BE-4401",42,'Raw Sales Data'!H42="BE-4402",125,'Raw Sales Data'!H42="BE-4408",58,'Raw Sales Data'!H42="SP-5501",1495,'Raw Sales Data'!H42="SP-5505",299,'Raw Sales Data'!H42="SP-5510",249)</f>
        <v>42</v>
      </c>
      <c r="L42" s="7" t="s">
        <v>193</v>
      </c>
      <c r="M42" s="39">
        <f t="shared" si="0"/>
        <v>84</v>
      </c>
      <c r="N42" s="7" t="s">
        <v>70</v>
      </c>
      <c r="O42" s="7" t="s">
        <v>58</v>
      </c>
      <c r="Q42" s="38"/>
    </row>
    <row r="43" spans="1:17" ht="14.1" customHeight="1" x14ac:dyDescent="0.2">
      <c r="A43" s="9" t="s">
        <v>194</v>
      </c>
      <c r="B43" s="9" t="s">
        <v>193</v>
      </c>
      <c r="C43" s="9" t="s">
        <v>457</v>
      </c>
      <c r="D43" s="9" t="s">
        <v>107</v>
      </c>
      <c r="E43" s="4" t="s">
        <v>363</v>
      </c>
      <c r="F43" s="9" t="s">
        <v>73</v>
      </c>
      <c r="G43" s="9" t="s">
        <v>74</v>
      </c>
      <c r="H43" s="9" t="s">
        <v>110</v>
      </c>
      <c r="I43" s="9">
        <v>1</v>
      </c>
      <c r="J43" s="9" t="s">
        <v>107</v>
      </c>
      <c r="K43" s="38" cm="1">
        <f t="array" ref="K43">_xlfn.IFS(H43="EL-2201",999,'Raw Sales Data'!H43="EL-2205",1299,'Raw Sales Data'!H43="EL-2210",1099,'Raw Sales Data'!H43="CL-1102",89,'Raw Sales Data'!H43="CL-1108",79,'Raw Sales Data'!H43="CL-1120",95,'Raw Sales Data'!H43="HA-3301",549,'Raw Sales Data'!H43="HA-3305",399,'Raw Sales Data'!H43="HA-3308",129,'Raw Sales Data'!H43="BE-4401",42,'Raw Sales Data'!H43="BE-4402",125,'Raw Sales Data'!H43="BE-4408",58,'Raw Sales Data'!H43="SP-5501",1495,'Raw Sales Data'!H43="SP-5505",299,'Raw Sales Data'!H43="SP-5510",249)</f>
        <v>125</v>
      </c>
      <c r="L43" s="9" t="s">
        <v>195</v>
      </c>
      <c r="M43" s="40">
        <f t="shared" si="0"/>
        <v>125</v>
      </c>
      <c r="N43" s="9" t="s">
        <v>57</v>
      </c>
      <c r="O43" s="9" t="s">
        <v>58</v>
      </c>
      <c r="Q43" s="38"/>
    </row>
    <row r="44" spans="1:17" ht="14.1" customHeight="1" x14ac:dyDescent="0.2">
      <c r="A44" s="7" t="s">
        <v>196</v>
      </c>
      <c r="B44" s="7" t="s">
        <v>197</v>
      </c>
      <c r="C44" s="7" t="s">
        <v>458</v>
      </c>
      <c r="D44" s="7" t="s">
        <v>53</v>
      </c>
      <c r="E44" s="8" t="s">
        <v>54</v>
      </c>
      <c r="F44" s="7" t="s">
        <v>73</v>
      </c>
      <c r="G44" s="7" t="s">
        <v>74</v>
      </c>
      <c r="H44" s="7" t="s">
        <v>113</v>
      </c>
      <c r="I44" s="7">
        <v>2</v>
      </c>
      <c r="J44" s="7" t="s">
        <v>53</v>
      </c>
      <c r="K44" s="7" cm="1">
        <f t="array" ref="K44">_xlfn.IFS(H44="EL-2201",999,'Raw Sales Data'!H44="EL-2205",1299,'Raw Sales Data'!H44="EL-2210",1099,'Raw Sales Data'!H44="CL-1102",89,'Raw Sales Data'!H44="CL-1108",79,'Raw Sales Data'!H44="CL-1120",95,'Raw Sales Data'!H44="HA-3301",549,'Raw Sales Data'!H44="HA-3305",399,'Raw Sales Data'!H44="HA-3308",129,'Raw Sales Data'!H44="BE-4401",42,'Raw Sales Data'!H44="BE-4402",125,'Raw Sales Data'!H44="BE-4408",58,'Raw Sales Data'!H44="SP-5501",1495,'Raw Sales Data'!H44="SP-5505",299,'Raw Sales Data'!H44="SP-5510",249)</f>
        <v>58</v>
      </c>
      <c r="L44" s="7" t="s">
        <v>198</v>
      </c>
      <c r="M44" s="39">
        <f t="shared" si="0"/>
        <v>116</v>
      </c>
      <c r="N44" s="7" t="s">
        <v>64</v>
      </c>
      <c r="O44" s="7" t="s">
        <v>58</v>
      </c>
      <c r="Q44" s="38"/>
    </row>
    <row r="45" spans="1:17" ht="14.1" customHeight="1" x14ac:dyDescent="0.2">
      <c r="A45" s="9" t="s">
        <v>199</v>
      </c>
      <c r="B45" s="9" t="s">
        <v>200</v>
      </c>
      <c r="C45" s="9" t="s">
        <v>458</v>
      </c>
      <c r="D45" s="9" t="s">
        <v>61</v>
      </c>
      <c r="E45" s="4" t="s">
        <v>365</v>
      </c>
      <c r="F45" s="9" t="s">
        <v>73</v>
      </c>
      <c r="G45" s="9" t="s">
        <v>85</v>
      </c>
      <c r="H45" s="9" t="s">
        <v>120</v>
      </c>
      <c r="I45" s="9">
        <v>1</v>
      </c>
      <c r="J45" s="9" t="s">
        <v>61</v>
      </c>
      <c r="K45" s="38" cm="1">
        <f t="array" ref="K45">_xlfn.IFS(H45="EL-2201",999,'Raw Sales Data'!H45="EL-2205",1299,'Raw Sales Data'!H45="EL-2210",1099,'Raw Sales Data'!H45="CL-1102",89,'Raw Sales Data'!H45="CL-1108",79,'Raw Sales Data'!H45="CL-1120",95,'Raw Sales Data'!H45="HA-3301",549,'Raw Sales Data'!H45="HA-3305",399,'Raw Sales Data'!H45="HA-3308",129,'Raw Sales Data'!H45="BE-4401",42,'Raw Sales Data'!H45="BE-4402",125,'Raw Sales Data'!H45="BE-4408",58,'Raw Sales Data'!H45="SP-5501",1495,'Raw Sales Data'!H45="SP-5505",299,'Raw Sales Data'!H45="SP-5510",249)</f>
        <v>1495</v>
      </c>
      <c r="L45" s="9" t="s">
        <v>201</v>
      </c>
      <c r="M45" s="40">
        <f t="shared" si="0"/>
        <v>1495</v>
      </c>
      <c r="N45" s="9" t="s">
        <v>70</v>
      </c>
      <c r="O45" s="9" t="s">
        <v>58</v>
      </c>
      <c r="Q45" s="38"/>
    </row>
    <row r="46" spans="1:17" ht="14.1" customHeight="1" x14ac:dyDescent="0.2">
      <c r="A46" s="7" t="s">
        <v>202</v>
      </c>
      <c r="B46" s="7" t="s">
        <v>203</v>
      </c>
      <c r="C46" s="7" t="s">
        <v>458</v>
      </c>
      <c r="D46" s="7" t="s">
        <v>67</v>
      </c>
      <c r="E46" s="8" t="s">
        <v>366</v>
      </c>
      <c r="F46" s="7" t="s">
        <v>91</v>
      </c>
      <c r="G46" s="7" t="s">
        <v>85</v>
      </c>
      <c r="H46" s="7" t="s">
        <v>124</v>
      </c>
      <c r="I46" s="7">
        <v>3</v>
      </c>
      <c r="J46" s="7" t="s">
        <v>67</v>
      </c>
      <c r="K46" s="7" cm="1">
        <f t="array" ref="K46">_xlfn.IFS(H46="EL-2201",999,'Raw Sales Data'!H46="EL-2205",1299,'Raw Sales Data'!H46="EL-2210",1099,'Raw Sales Data'!H46="CL-1102",89,'Raw Sales Data'!H46="CL-1108",79,'Raw Sales Data'!H46="CL-1120",95,'Raw Sales Data'!H46="HA-3301",549,'Raw Sales Data'!H46="HA-3305",399,'Raw Sales Data'!H46="HA-3308",129,'Raw Sales Data'!H46="BE-4401",42,'Raw Sales Data'!H46="BE-4402",125,'Raw Sales Data'!H46="BE-4408",58,'Raw Sales Data'!H46="SP-5501",1495,'Raw Sales Data'!H46="SP-5505",299,'Raw Sales Data'!H46="SP-5510",249)</f>
        <v>299</v>
      </c>
      <c r="L46" s="7" t="s">
        <v>204</v>
      </c>
      <c r="M46" s="39">
        <f t="shared" si="0"/>
        <v>897</v>
      </c>
      <c r="N46" s="7" t="s">
        <v>57</v>
      </c>
      <c r="O46" s="7" t="s">
        <v>58</v>
      </c>
      <c r="Q46" s="38"/>
    </row>
    <row r="47" spans="1:17" ht="14.1" customHeight="1" x14ac:dyDescent="0.2">
      <c r="A47" s="9" t="s">
        <v>205</v>
      </c>
      <c r="B47" s="9" t="s">
        <v>204</v>
      </c>
      <c r="C47" s="9" t="s">
        <v>458</v>
      </c>
      <c r="D47" s="9" t="s">
        <v>72</v>
      </c>
      <c r="E47" s="4" t="s">
        <v>367</v>
      </c>
      <c r="F47" s="9" t="s">
        <v>91</v>
      </c>
      <c r="G47" s="9" t="s">
        <v>97</v>
      </c>
      <c r="H47" s="9" t="s">
        <v>127</v>
      </c>
      <c r="I47" s="9">
        <v>1</v>
      </c>
      <c r="J47" s="9" t="s">
        <v>72</v>
      </c>
      <c r="K47" s="38" cm="1">
        <f t="array" ref="K47">_xlfn.IFS(H47="EL-2201",999,'Raw Sales Data'!H47="EL-2205",1299,'Raw Sales Data'!H47="EL-2210",1099,'Raw Sales Data'!H47="CL-1102",89,'Raw Sales Data'!H47="CL-1108",79,'Raw Sales Data'!H47="CL-1120",95,'Raw Sales Data'!H47="HA-3301",549,'Raw Sales Data'!H47="HA-3305",399,'Raw Sales Data'!H47="HA-3308",129,'Raw Sales Data'!H47="BE-4401",42,'Raw Sales Data'!H47="BE-4402",125,'Raw Sales Data'!H47="BE-4408",58,'Raw Sales Data'!H47="SP-5501",1495,'Raw Sales Data'!H47="SP-5505",299,'Raw Sales Data'!H47="SP-5510",249)</f>
        <v>249</v>
      </c>
      <c r="L47" s="9" t="s">
        <v>203</v>
      </c>
      <c r="M47" s="40">
        <f t="shared" si="0"/>
        <v>249</v>
      </c>
      <c r="N47" s="9" t="s">
        <v>64</v>
      </c>
      <c r="O47" s="9" t="s">
        <v>115</v>
      </c>
      <c r="Q47" s="38"/>
    </row>
    <row r="48" spans="1:17" ht="14.1" customHeight="1" x14ac:dyDescent="0.2">
      <c r="A48" s="7" t="s">
        <v>206</v>
      </c>
      <c r="B48" s="7" t="s">
        <v>207</v>
      </c>
      <c r="C48" s="7" t="s">
        <v>458</v>
      </c>
      <c r="D48" s="7" t="s">
        <v>78</v>
      </c>
      <c r="E48" s="8" t="s">
        <v>368</v>
      </c>
      <c r="F48" s="7" t="s">
        <v>91</v>
      </c>
      <c r="G48" s="7" t="s">
        <v>97</v>
      </c>
      <c r="H48" s="7" t="s">
        <v>130</v>
      </c>
      <c r="I48" s="7">
        <v>2</v>
      </c>
      <c r="J48" s="7" t="s">
        <v>78</v>
      </c>
      <c r="K48" s="7" cm="1">
        <f t="array" ref="K48">_xlfn.IFS(H48="EL-2201",999,'Raw Sales Data'!H48="EL-2205",1299,'Raw Sales Data'!H48="EL-2210",1099,'Raw Sales Data'!H48="CL-1102",89,'Raw Sales Data'!H48="CL-1108",79,'Raw Sales Data'!H48="CL-1120",95,'Raw Sales Data'!H48="HA-3301",549,'Raw Sales Data'!H48="HA-3305",399,'Raw Sales Data'!H48="HA-3308",129,'Raw Sales Data'!H48="BE-4401",42,'Raw Sales Data'!H48="BE-4402",125,'Raw Sales Data'!H48="BE-4408",58,'Raw Sales Data'!H48="SP-5501",1495,'Raw Sales Data'!H48="SP-5505",299,'Raw Sales Data'!H48="SP-5510",249)</f>
        <v>999</v>
      </c>
      <c r="L48" s="7" t="s">
        <v>208</v>
      </c>
      <c r="M48" s="39">
        <f t="shared" si="0"/>
        <v>1998</v>
      </c>
      <c r="N48" s="7" t="s">
        <v>70</v>
      </c>
      <c r="O48" s="7" t="s">
        <v>58</v>
      </c>
      <c r="Q48" s="38"/>
    </row>
    <row r="49" spans="1:17" ht="14.1" customHeight="1" x14ac:dyDescent="0.2">
      <c r="A49" s="9" t="s">
        <v>209</v>
      </c>
      <c r="B49" s="9" t="s">
        <v>210</v>
      </c>
      <c r="C49" s="9" t="s">
        <v>458</v>
      </c>
      <c r="D49" s="9" t="s">
        <v>83</v>
      </c>
      <c r="E49" s="4" t="s">
        <v>84</v>
      </c>
      <c r="F49" s="9" t="s">
        <v>108</v>
      </c>
      <c r="G49" s="9" t="s">
        <v>109</v>
      </c>
      <c r="H49" s="9" t="s">
        <v>55</v>
      </c>
      <c r="I49" s="9">
        <v>1</v>
      </c>
      <c r="J49" s="9" t="s">
        <v>83</v>
      </c>
      <c r="K49" s="38" cm="1">
        <f t="array" ref="K49">_xlfn.IFS(H49="EL-2201",999,'Raw Sales Data'!H49="EL-2205",1299,'Raw Sales Data'!H49="EL-2210",1099,'Raw Sales Data'!H49="CL-1102",89,'Raw Sales Data'!H49="CL-1108",79,'Raw Sales Data'!H49="CL-1120",95,'Raw Sales Data'!H49="HA-3301",549,'Raw Sales Data'!H49="HA-3305",399,'Raw Sales Data'!H49="HA-3308",129,'Raw Sales Data'!H49="BE-4401",42,'Raw Sales Data'!H49="BE-4402",125,'Raw Sales Data'!H49="BE-4408",58,'Raw Sales Data'!H49="SP-5501",1495,'Raw Sales Data'!H49="SP-5505",299,'Raw Sales Data'!H49="SP-5510",249)</f>
        <v>1299</v>
      </c>
      <c r="L49" s="9" t="s">
        <v>211</v>
      </c>
      <c r="M49" s="40">
        <f t="shared" si="0"/>
        <v>1299</v>
      </c>
      <c r="N49" s="9" t="s">
        <v>57</v>
      </c>
      <c r="O49" s="9" t="s">
        <v>58</v>
      </c>
      <c r="Q49" s="38"/>
    </row>
    <row r="50" spans="1:17" ht="14.1" customHeight="1" x14ac:dyDescent="0.2">
      <c r="A50" s="7" t="s">
        <v>212</v>
      </c>
      <c r="B50" s="7" t="s">
        <v>211</v>
      </c>
      <c r="C50" s="7" t="s">
        <v>458</v>
      </c>
      <c r="D50" s="7" t="s">
        <v>89</v>
      </c>
      <c r="E50" s="8" t="s">
        <v>90</v>
      </c>
      <c r="F50" s="7" t="s">
        <v>108</v>
      </c>
      <c r="G50" s="7" t="s">
        <v>109</v>
      </c>
      <c r="H50" s="7" t="s">
        <v>62</v>
      </c>
      <c r="I50" s="7" t="s">
        <v>436</v>
      </c>
      <c r="J50" s="7" t="s">
        <v>89</v>
      </c>
      <c r="K50" s="7" cm="1">
        <f t="array" ref="K50">_xlfn.IFS(H50="EL-2201",999,'Raw Sales Data'!H50="EL-2205",1299,'Raw Sales Data'!H50="EL-2210",1099,'Raw Sales Data'!H50="CL-1102",89,'Raw Sales Data'!H50="CL-1108",79,'Raw Sales Data'!H50="CL-1120",95,'Raw Sales Data'!H50="HA-3301",549,'Raw Sales Data'!H50="HA-3305",399,'Raw Sales Data'!H50="HA-3308",129,'Raw Sales Data'!H50="BE-4401",42,'Raw Sales Data'!H50="BE-4402",125,'Raw Sales Data'!H50="BE-4408",58,'Raw Sales Data'!H50="SP-5501",1495,'Raw Sales Data'!H50="SP-5505",299,'Raw Sales Data'!H50="SP-5510",249)</f>
        <v>1099</v>
      </c>
      <c r="L50" s="7" t="s">
        <v>213</v>
      </c>
      <c r="M50" s="39">
        <f t="shared" si="0"/>
        <v>1099</v>
      </c>
      <c r="N50" s="7" t="s">
        <v>64</v>
      </c>
      <c r="O50" s="7" t="s">
        <v>58</v>
      </c>
      <c r="Q50" s="38"/>
    </row>
    <row r="51" spans="1:17" ht="14.1" customHeight="1" x14ac:dyDescent="0.2">
      <c r="A51" s="9" t="s">
        <v>214</v>
      </c>
      <c r="B51" s="9" t="s">
        <v>215</v>
      </c>
      <c r="C51" s="9" t="s">
        <v>458</v>
      </c>
      <c r="D51" s="9" t="s">
        <v>96</v>
      </c>
      <c r="E51" s="4" t="s">
        <v>369</v>
      </c>
      <c r="F51" s="9" t="s">
        <v>118</v>
      </c>
      <c r="G51" s="9" t="s">
        <v>119</v>
      </c>
      <c r="H51" s="9" t="s">
        <v>68</v>
      </c>
      <c r="I51" s="9">
        <v>1</v>
      </c>
      <c r="J51" s="9" t="s">
        <v>96</v>
      </c>
      <c r="K51" s="38" cm="1">
        <f t="array" ref="K51">_xlfn.IFS(H51="EL-2201",999,'Raw Sales Data'!H51="EL-2205",1299,'Raw Sales Data'!H51="EL-2210",1099,'Raw Sales Data'!H51="CL-1102",89,'Raw Sales Data'!H51="CL-1108",79,'Raw Sales Data'!H51="CL-1120",95,'Raw Sales Data'!H51="HA-3301",549,'Raw Sales Data'!H51="HA-3305",399,'Raw Sales Data'!H51="HA-3308",129,'Raw Sales Data'!H51="BE-4401",42,'Raw Sales Data'!H51="BE-4402",125,'Raw Sales Data'!H51="BE-4408",58,'Raw Sales Data'!H51="SP-5501",1495,'Raw Sales Data'!H51="SP-5505",299,'Raw Sales Data'!H51="SP-5510",249)</f>
        <v>89</v>
      </c>
      <c r="L51" s="9" t="s">
        <v>216</v>
      </c>
      <c r="M51" s="40">
        <f t="shared" si="0"/>
        <v>89</v>
      </c>
      <c r="N51" s="9" t="s">
        <v>70</v>
      </c>
      <c r="O51" s="9" t="s">
        <v>58</v>
      </c>
      <c r="Q51" s="38"/>
    </row>
    <row r="52" spans="1:17" ht="14.1" customHeight="1" x14ac:dyDescent="0.2">
      <c r="A52" s="7" t="s">
        <v>217</v>
      </c>
      <c r="B52" s="7" t="s">
        <v>218</v>
      </c>
      <c r="C52" s="7" t="s">
        <v>459</v>
      </c>
      <c r="D52" s="7" t="s">
        <v>102</v>
      </c>
      <c r="E52" s="8" t="s">
        <v>103</v>
      </c>
      <c r="F52" s="7" t="s">
        <v>118</v>
      </c>
      <c r="G52" s="7" t="s">
        <v>119</v>
      </c>
      <c r="H52" s="7" t="s">
        <v>75</v>
      </c>
      <c r="I52" s="7">
        <v>2</v>
      </c>
      <c r="J52" s="7" t="s">
        <v>102</v>
      </c>
      <c r="K52" s="7" cm="1">
        <f t="array" ref="K52">_xlfn.IFS(H52="EL-2201",999,'Raw Sales Data'!H52="EL-2205",1299,'Raw Sales Data'!H52="EL-2210",1099,'Raw Sales Data'!H52="CL-1102",89,'Raw Sales Data'!H52="CL-1108",79,'Raw Sales Data'!H52="CL-1120",95,'Raw Sales Data'!H52="HA-3301",549,'Raw Sales Data'!H52="HA-3305",399,'Raw Sales Data'!H52="HA-3308",129,'Raw Sales Data'!H52="BE-4401",42,'Raw Sales Data'!H52="BE-4402",125,'Raw Sales Data'!H52="BE-4408",58,'Raw Sales Data'!H52="SP-5501",1495,'Raw Sales Data'!H52="SP-5505",299,'Raw Sales Data'!H52="SP-5510",249)</f>
        <v>79</v>
      </c>
      <c r="L52" s="7" t="s">
        <v>219</v>
      </c>
      <c r="M52" s="39">
        <f t="shared" si="0"/>
        <v>158</v>
      </c>
      <c r="N52" s="7" t="s">
        <v>57</v>
      </c>
      <c r="O52" s="7" t="s">
        <v>58</v>
      </c>
      <c r="Q52" s="38"/>
    </row>
    <row r="53" spans="1:17" ht="14.1" customHeight="1" x14ac:dyDescent="0.2">
      <c r="A53" s="9" t="s">
        <v>220</v>
      </c>
      <c r="B53" s="9" t="s">
        <v>219</v>
      </c>
      <c r="C53" s="9" t="s">
        <v>459</v>
      </c>
      <c r="D53" s="9" t="s">
        <v>107</v>
      </c>
      <c r="E53" s="4" t="s">
        <v>363</v>
      </c>
      <c r="F53" s="9" t="s">
        <v>118</v>
      </c>
      <c r="G53" s="9" t="s">
        <v>119</v>
      </c>
      <c r="H53" s="9" t="s">
        <v>79</v>
      </c>
      <c r="I53" s="9">
        <v>1</v>
      </c>
      <c r="J53" s="9" t="s">
        <v>107</v>
      </c>
      <c r="K53" s="38" cm="1">
        <f t="array" ref="K53">_xlfn.IFS(H53="EL-2201",999,'Raw Sales Data'!H53="EL-2205",1299,'Raw Sales Data'!H53="EL-2210",1099,'Raw Sales Data'!H53="CL-1102",89,'Raw Sales Data'!H53="CL-1108",79,'Raw Sales Data'!H53="CL-1120",95,'Raw Sales Data'!H53="HA-3301",549,'Raw Sales Data'!H53="HA-3305",399,'Raw Sales Data'!H53="HA-3308",129,'Raw Sales Data'!H53="BE-4401",42,'Raw Sales Data'!H53="BE-4402",125,'Raw Sales Data'!H53="BE-4408",58,'Raw Sales Data'!H53="SP-5501",1495,'Raw Sales Data'!H53="SP-5505",299,'Raw Sales Data'!H53="SP-5510",249)</f>
        <v>95</v>
      </c>
      <c r="L53" s="9" t="s">
        <v>221</v>
      </c>
      <c r="M53" s="40">
        <f t="shared" si="0"/>
        <v>95</v>
      </c>
      <c r="N53" s="9" t="s">
        <v>64</v>
      </c>
      <c r="O53" s="9" t="s">
        <v>58</v>
      </c>
      <c r="Q53" s="38"/>
    </row>
    <row r="54" spans="1:17" ht="14.1" customHeight="1" x14ac:dyDescent="0.2">
      <c r="A54" s="7" t="s">
        <v>222</v>
      </c>
      <c r="B54" s="7" t="s">
        <v>221</v>
      </c>
      <c r="C54" s="7" t="s">
        <v>459</v>
      </c>
      <c r="D54" s="7" t="s">
        <v>53</v>
      </c>
      <c r="E54" s="8" t="s">
        <v>54</v>
      </c>
      <c r="F54" s="7" t="s">
        <v>118</v>
      </c>
      <c r="G54" s="7" t="s">
        <v>119</v>
      </c>
      <c r="H54" s="7" t="s">
        <v>86</v>
      </c>
      <c r="I54" s="7">
        <v>2</v>
      </c>
      <c r="J54" s="7" t="s">
        <v>53</v>
      </c>
      <c r="K54" s="7" cm="1">
        <f t="array" ref="K54">_xlfn.IFS(H54="EL-2201",999,'Raw Sales Data'!H54="EL-2205",1299,'Raw Sales Data'!H54="EL-2210",1099,'Raw Sales Data'!H54="CL-1102",89,'Raw Sales Data'!H54="CL-1108",79,'Raw Sales Data'!H54="CL-1120",95,'Raw Sales Data'!H54="HA-3301",549,'Raw Sales Data'!H54="HA-3305",399,'Raw Sales Data'!H54="HA-3308",129,'Raw Sales Data'!H54="BE-4401",42,'Raw Sales Data'!H54="BE-4402",125,'Raw Sales Data'!H54="BE-4408",58,'Raw Sales Data'!H54="SP-5501",1495,'Raw Sales Data'!H54="SP-5505",299,'Raw Sales Data'!H54="SP-5510",249)</f>
        <v>549</v>
      </c>
      <c r="L54" s="7" t="s">
        <v>223</v>
      </c>
      <c r="M54" s="39">
        <f t="shared" si="0"/>
        <v>1098</v>
      </c>
      <c r="N54" s="7" t="s">
        <v>70</v>
      </c>
      <c r="O54" s="7" t="s">
        <v>58</v>
      </c>
      <c r="Q54" s="38"/>
    </row>
    <row r="55" spans="1:17" ht="14.1" customHeight="1" x14ac:dyDescent="0.2">
      <c r="A55" s="9" t="s">
        <v>224</v>
      </c>
      <c r="B55" s="9" t="s">
        <v>225</v>
      </c>
      <c r="C55" s="9" t="s">
        <v>459</v>
      </c>
      <c r="D55" s="9" t="s">
        <v>61</v>
      </c>
      <c r="E55" s="4" t="s">
        <v>365</v>
      </c>
      <c r="F55" s="9" t="s">
        <v>73</v>
      </c>
      <c r="G55" s="9" t="s">
        <v>74</v>
      </c>
      <c r="H55" s="9" t="s">
        <v>92</v>
      </c>
      <c r="I55" s="9">
        <v>1</v>
      </c>
      <c r="J55" s="9" t="s">
        <v>61</v>
      </c>
      <c r="K55" s="38" cm="1">
        <f t="array" ref="K55">_xlfn.IFS(H55="EL-2201",999,'Raw Sales Data'!H55="EL-2205",1299,'Raw Sales Data'!H55="EL-2210",1099,'Raw Sales Data'!H55="CL-1102",89,'Raw Sales Data'!H55="CL-1108",79,'Raw Sales Data'!H55="CL-1120",95,'Raw Sales Data'!H55="HA-3301",549,'Raw Sales Data'!H55="HA-3305",399,'Raw Sales Data'!H55="HA-3308",129,'Raw Sales Data'!H55="BE-4401",42,'Raw Sales Data'!H55="BE-4402",125,'Raw Sales Data'!H55="BE-4408",58,'Raw Sales Data'!H55="SP-5501",1495,'Raw Sales Data'!H55="SP-5505",299,'Raw Sales Data'!H55="SP-5510",249)</f>
        <v>399</v>
      </c>
      <c r="L55" s="9" t="s">
        <v>226</v>
      </c>
      <c r="M55" s="40">
        <f t="shared" si="0"/>
        <v>399</v>
      </c>
      <c r="N55" s="9" t="s">
        <v>57</v>
      </c>
      <c r="O55" s="9" t="s">
        <v>58</v>
      </c>
      <c r="Q55" s="38"/>
    </row>
    <row r="56" spans="1:17" ht="14.1" customHeight="1" x14ac:dyDescent="0.2">
      <c r="A56" s="7" t="s">
        <v>227</v>
      </c>
      <c r="B56" s="7" t="s">
        <v>228</v>
      </c>
      <c r="C56" s="7" t="s">
        <v>459</v>
      </c>
      <c r="D56" s="7" t="s">
        <v>67</v>
      </c>
      <c r="E56" s="8" t="s">
        <v>366</v>
      </c>
      <c r="F56" s="7" t="s">
        <v>73</v>
      </c>
      <c r="G56" s="7" t="s">
        <v>74</v>
      </c>
      <c r="H56" s="7" t="s">
        <v>98</v>
      </c>
      <c r="I56" s="7">
        <v>3</v>
      </c>
      <c r="J56" s="7" t="s">
        <v>67</v>
      </c>
      <c r="K56" s="7" cm="1">
        <f t="array" ref="K56">_xlfn.IFS(H56="EL-2201",999,'Raw Sales Data'!H56="EL-2205",1299,'Raw Sales Data'!H56="EL-2210",1099,'Raw Sales Data'!H56="CL-1102",89,'Raw Sales Data'!H56="CL-1108",79,'Raw Sales Data'!H56="CL-1120",95,'Raw Sales Data'!H56="HA-3301",549,'Raw Sales Data'!H56="HA-3305",399,'Raw Sales Data'!H56="HA-3308",129,'Raw Sales Data'!H56="BE-4401",42,'Raw Sales Data'!H56="BE-4402",125,'Raw Sales Data'!H56="BE-4408",58,'Raw Sales Data'!H56="SP-5501",1495,'Raw Sales Data'!H56="SP-5505",299,'Raw Sales Data'!H56="SP-5510",249)</f>
        <v>129</v>
      </c>
      <c r="L56" s="7" t="s">
        <v>229</v>
      </c>
      <c r="M56" s="39">
        <f t="shared" si="0"/>
        <v>387</v>
      </c>
      <c r="N56" s="7" t="s">
        <v>64</v>
      </c>
      <c r="O56" s="7" t="s">
        <v>58</v>
      </c>
      <c r="Q56" s="38"/>
    </row>
    <row r="57" spans="1:17" ht="14.1" customHeight="1" x14ac:dyDescent="0.2">
      <c r="A57" s="9" t="s">
        <v>230</v>
      </c>
      <c r="B57" s="9" t="s">
        <v>229</v>
      </c>
      <c r="C57" s="9" t="s">
        <v>459</v>
      </c>
      <c r="D57" s="9" t="s">
        <v>72</v>
      </c>
      <c r="E57" s="4" t="s">
        <v>367</v>
      </c>
      <c r="F57" s="9" t="s">
        <v>73</v>
      </c>
      <c r="G57" s="9" t="s">
        <v>85</v>
      </c>
      <c r="H57" s="9" t="s">
        <v>104</v>
      </c>
      <c r="I57" s="9">
        <v>1</v>
      </c>
      <c r="J57" s="9" t="s">
        <v>72</v>
      </c>
      <c r="K57" s="38" cm="1">
        <f t="array" ref="K57">_xlfn.IFS(H57="EL-2201",999,'Raw Sales Data'!H57="EL-2205",1299,'Raw Sales Data'!H57="EL-2210",1099,'Raw Sales Data'!H57="CL-1102",89,'Raw Sales Data'!H57="CL-1108",79,'Raw Sales Data'!H57="CL-1120",95,'Raw Sales Data'!H57="HA-3301",549,'Raw Sales Data'!H57="HA-3305",399,'Raw Sales Data'!H57="HA-3308",129,'Raw Sales Data'!H57="BE-4401",42,'Raw Sales Data'!H57="BE-4402",125,'Raw Sales Data'!H57="BE-4408",58,'Raw Sales Data'!H57="SP-5501",1495,'Raw Sales Data'!H57="SP-5505",299,'Raw Sales Data'!H57="SP-5510",249)</f>
        <v>42</v>
      </c>
      <c r="L57" s="9" t="s">
        <v>228</v>
      </c>
      <c r="M57" s="40">
        <f t="shared" si="0"/>
        <v>42</v>
      </c>
      <c r="N57" s="9" t="s">
        <v>70</v>
      </c>
      <c r="O57" s="9" t="s">
        <v>58</v>
      </c>
      <c r="Q57" s="38"/>
    </row>
    <row r="58" spans="1:17" ht="14.1" customHeight="1" x14ac:dyDescent="0.2">
      <c r="A58" s="7" t="s">
        <v>231</v>
      </c>
      <c r="B58" s="7" t="s">
        <v>232</v>
      </c>
      <c r="C58" s="7" t="s">
        <v>459</v>
      </c>
      <c r="D58" s="7" t="s">
        <v>78</v>
      </c>
      <c r="E58" s="8" t="s">
        <v>368</v>
      </c>
      <c r="F58" s="7" t="s">
        <v>91</v>
      </c>
      <c r="G58" s="7" t="s">
        <v>85</v>
      </c>
      <c r="H58" s="7" t="s">
        <v>110</v>
      </c>
      <c r="I58" s="7">
        <v>2</v>
      </c>
      <c r="J58" s="7" t="s">
        <v>78</v>
      </c>
      <c r="K58" s="7" cm="1">
        <f t="array" ref="K58">_xlfn.IFS(H58="EL-2201",999,'Raw Sales Data'!H58="EL-2205",1299,'Raw Sales Data'!H58="EL-2210",1099,'Raw Sales Data'!H58="CL-1102",89,'Raw Sales Data'!H58="CL-1108",79,'Raw Sales Data'!H58="CL-1120",95,'Raw Sales Data'!H58="HA-3301",549,'Raw Sales Data'!H58="HA-3305",399,'Raw Sales Data'!H58="HA-3308",129,'Raw Sales Data'!H58="BE-4401",42,'Raw Sales Data'!H58="BE-4402",125,'Raw Sales Data'!H58="BE-4408",58,'Raw Sales Data'!H58="SP-5501",1495,'Raw Sales Data'!H58="SP-5505",299,'Raw Sales Data'!H58="SP-5510",249)</f>
        <v>125</v>
      </c>
      <c r="L58" s="7" t="s">
        <v>233</v>
      </c>
      <c r="M58" s="39">
        <f t="shared" si="0"/>
        <v>250</v>
      </c>
      <c r="N58" s="7" t="s">
        <v>57</v>
      </c>
      <c r="O58" s="7" t="s">
        <v>115</v>
      </c>
      <c r="Q58" s="38"/>
    </row>
    <row r="59" spans="1:17" ht="14.1" customHeight="1" x14ac:dyDescent="0.2">
      <c r="A59" s="9" t="s">
        <v>234</v>
      </c>
      <c r="B59" s="9" t="s">
        <v>235</v>
      </c>
      <c r="C59" s="9" t="s">
        <v>459</v>
      </c>
      <c r="D59" s="9" t="s">
        <v>83</v>
      </c>
      <c r="E59" s="4" t="s">
        <v>84</v>
      </c>
      <c r="F59" s="9" t="s">
        <v>91</v>
      </c>
      <c r="G59" s="9" t="s">
        <v>97</v>
      </c>
      <c r="H59" s="9" t="s">
        <v>113</v>
      </c>
      <c r="I59" s="9">
        <v>1</v>
      </c>
      <c r="J59" s="9" t="s">
        <v>83</v>
      </c>
      <c r="K59" s="38" cm="1">
        <f t="array" ref="K59">_xlfn.IFS(H59="EL-2201",999,'Raw Sales Data'!H59="EL-2205",1299,'Raw Sales Data'!H59="EL-2210",1099,'Raw Sales Data'!H59="CL-1102",89,'Raw Sales Data'!H59="CL-1108",79,'Raw Sales Data'!H59="CL-1120",95,'Raw Sales Data'!H59="HA-3301",549,'Raw Sales Data'!H59="HA-3305",399,'Raw Sales Data'!H59="HA-3308",129,'Raw Sales Data'!H59="BE-4401",42,'Raw Sales Data'!H59="BE-4402",125,'Raw Sales Data'!H59="BE-4408",58,'Raw Sales Data'!H59="SP-5501",1495,'Raw Sales Data'!H59="SP-5505",299,'Raw Sales Data'!H59="SP-5510",249)</f>
        <v>58</v>
      </c>
      <c r="L59" s="9" t="s">
        <v>236</v>
      </c>
      <c r="M59" s="40">
        <f t="shared" si="0"/>
        <v>58</v>
      </c>
      <c r="N59" s="9" t="s">
        <v>64</v>
      </c>
      <c r="O59" s="9" t="s">
        <v>58</v>
      </c>
      <c r="Q59" s="38"/>
    </row>
    <row r="60" spans="1:17" ht="14.1" customHeight="1" x14ac:dyDescent="0.2">
      <c r="A60" s="7" t="s">
        <v>237</v>
      </c>
      <c r="B60" s="7" t="s">
        <v>238</v>
      </c>
      <c r="C60" s="7" t="s">
        <v>460</v>
      </c>
      <c r="D60" s="7" t="s">
        <v>89</v>
      </c>
      <c r="E60" s="8" t="s">
        <v>90</v>
      </c>
      <c r="F60" s="7" t="s">
        <v>91</v>
      </c>
      <c r="G60" s="7" t="s">
        <v>97</v>
      </c>
      <c r="H60" s="7" t="s">
        <v>120</v>
      </c>
      <c r="I60" s="7" t="s">
        <v>436</v>
      </c>
      <c r="J60" s="7" t="s">
        <v>89</v>
      </c>
      <c r="K60" s="7" cm="1">
        <f t="array" ref="K60">_xlfn.IFS(H60="EL-2201",999,'Raw Sales Data'!H60="EL-2205",1299,'Raw Sales Data'!H60="EL-2210",1099,'Raw Sales Data'!H60="CL-1102",89,'Raw Sales Data'!H60="CL-1108",79,'Raw Sales Data'!H60="CL-1120",95,'Raw Sales Data'!H60="HA-3301",549,'Raw Sales Data'!H60="HA-3305",399,'Raw Sales Data'!H60="HA-3308",129,'Raw Sales Data'!H60="BE-4401",42,'Raw Sales Data'!H60="BE-4402",125,'Raw Sales Data'!H60="BE-4408",58,'Raw Sales Data'!H60="SP-5501",1495,'Raw Sales Data'!H60="SP-5505",299,'Raw Sales Data'!H60="SP-5510",249)</f>
        <v>1495</v>
      </c>
      <c r="L60" s="7" t="s">
        <v>239</v>
      </c>
      <c r="M60" s="39">
        <f t="shared" si="0"/>
        <v>1495</v>
      </c>
      <c r="N60" s="7" t="s">
        <v>70</v>
      </c>
      <c r="O60" s="7" t="s">
        <v>58</v>
      </c>
      <c r="Q60" s="38"/>
    </row>
    <row r="61" spans="1:17" ht="14.1" customHeight="1" x14ac:dyDescent="0.2">
      <c r="A61" s="9" t="s">
        <v>240</v>
      </c>
      <c r="B61" s="9" t="s">
        <v>241</v>
      </c>
      <c r="C61" s="9" t="s">
        <v>460</v>
      </c>
      <c r="D61" s="9" t="s">
        <v>96</v>
      </c>
      <c r="E61" s="4" t="s">
        <v>369</v>
      </c>
      <c r="F61" s="9" t="s">
        <v>108</v>
      </c>
      <c r="G61" s="9" t="s">
        <v>109</v>
      </c>
      <c r="H61" s="9" t="s">
        <v>124</v>
      </c>
      <c r="I61" s="9">
        <v>1</v>
      </c>
      <c r="J61" s="9" t="s">
        <v>96</v>
      </c>
      <c r="K61" s="38" cm="1">
        <f t="array" ref="K61">_xlfn.IFS(H61="EL-2201",999,'Raw Sales Data'!H61="EL-2205",1299,'Raw Sales Data'!H61="EL-2210",1099,'Raw Sales Data'!H61="CL-1102",89,'Raw Sales Data'!H61="CL-1108",79,'Raw Sales Data'!H61="CL-1120",95,'Raw Sales Data'!H61="HA-3301",549,'Raw Sales Data'!H61="HA-3305",399,'Raw Sales Data'!H61="HA-3308",129,'Raw Sales Data'!H61="BE-4401",42,'Raw Sales Data'!H61="BE-4402",125,'Raw Sales Data'!H61="BE-4408",58,'Raw Sales Data'!H61="SP-5501",1495,'Raw Sales Data'!H61="SP-5505",299,'Raw Sales Data'!H61="SP-5510",249)</f>
        <v>299</v>
      </c>
      <c r="L61" s="9" t="s">
        <v>242</v>
      </c>
      <c r="M61" s="40">
        <f t="shared" si="0"/>
        <v>299</v>
      </c>
      <c r="N61" s="9" t="s">
        <v>57</v>
      </c>
      <c r="O61" s="9" t="s">
        <v>58</v>
      </c>
      <c r="Q61" s="38"/>
    </row>
    <row r="62" spans="1:17" ht="14.1" customHeight="1" x14ac:dyDescent="0.2">
      <c r="A62" s="7" t="s">
        <v>243</v>
      </c>
      <c r="B62" s="7" t="s">
        <v>244</v>
      </c>
      <c r="C62" s="7" t="s">
        <v>460</v>
      </c>
      <c r="D62" s="7" t="s">
        <v>102</v>
      </c>
      <c r="E62" s="8" t="s">
        <v>103</v>
      </c>
      <c r="F62" s="7" t="s">
        <v>108</v>
      </c>
      <c r="G62" s="7" t="s">
        <v>109</v>
      </c>
      <c r="H62" s="7" t="s">
        <v>127</v>
      </c>
      <c r="I62" s="7">
        <v>2</v>
      </c>
      <c r="J62" s="7" t="s">
        <v>102</v>
      </c>
      <c r="K62" s="7" cm="1">
        <f t="array" ref="K62">_xlfn.IFS(H62="EL-2201",999,'Raw Sales Data'!H62="EL-2205",1299,'Raw Sales Data'!H62="EL-2210",1099,'Raw Sales Data'!H62="CL-1102",89,'Raw Sales Data'!H62="CL-1108",79,'Raw Sales Data'!H62="CL-1120",95,'Raw Sales Data'!H62="HA-3301",549,'Raw Sales Data'!H62="HA-3305",399,'Raw Sales Data'!H62="HA-3308",129,'Raw Sales Data'!H62="BE-4401",42,'Raw Sales Data'!H62="BE-4402",125,'Raw Sales Data'!H62="BE-4408",58,'Raw Sales Data'!H62="SP-5501",1495,'Raw Sales Data'!H62="SP-5505",299,'Raw Sales Data'!H62="SP-5510",249)</f>
        <v>249</v>
      </c>
      <c r="L62" s="7" t="s">
        <v>245</v>
      </c>
      <c r="M62" s="39">
        <f t="shared" si="0"/>
        <v>498</v>
      </c>
      <c r="N62" s="7" t="s">
        <v>64</v>
      </c>
      <c r="O62" s="7" t="s">
        <v>58</v>
      </c>
      <c r="Q62" s="38"/>
    </row>
    <row r="63" spans="1:17" ht="14.1" customHeight="1" x14ac:dyDescent="0.2">
      <c r="A63" s="9" t="s">
        <v>246</v>
      </c>
      <c r="B63" s="9" t="s">
        <v>245</v>
      </c>
      <c r="C63" s="9" t="s">
        <v>460</v>
      </c>
      <c r="D63" s="9" t="s">
        <v>107</v>
      </c>
      <c r="E63" s="4" t="s">
        <v>363</v>
      </c>
      <c r="F63" s="9" t="s">
        <v>118</v>
      </c>
      <c r="G63" s="9" t="s">
        <v>119</v>
      </c>
      <c r="H63" s="9" t="s">
        <v>130</v>
      </c>
      <c r="I63" s="9">
        <v>1</v>
      </c>
      <c r="J63" s="9" t="s">
        <v>107</v>
      </c>
      <c r="K63" s="38" cm="1">
        <f t="array" ref="K63">_xlfn.IFS(H63="EL-2201",999,'Raw Sales Data'!H63="EL-2205",1299,'Raw Sales Data'!H63="EL-2210",1099,'Raw Sales Data'!H63="CL-1102",89,'Raw Sales Data'!H63="CL-1108",79,'Raw Sales Data'!H63="CL-1120",95,'Raw Sales Data'!H63="HA-3301",549,'Raw Sales Data'!H63="HA-3305",399,'Raw Sales Data'!H63="HA-3308",129,'Raw Sales Data'!H63="BE-4401",42,'Raw Sales Data'!H63="BE-4402",125,'Raw Sales Data'!H63="BE-4408",58,'Raw Sales Data'!H63="SP-5501",1495,'Raw Sales Data'!H63="SP-5505",299,'Raw Sales Data'!H63="SP-5510",249)</f>
        <v>999</v>
      </c>
      <c r="L63" s="9" t="s">
        <v>247</v>
      </c>
      <c r="M63" s="40">
        <f t="shared" si="0"/>
        <v>999</v>
      </c>
      <c r="N63" s="9" t="s">
        <v>70</v>
      </c>
      <c r="O63" s="9" t="s">
        <v>58</v>
      </c>
      <c r="Q63" s="38"/>
    </row>
    <row r="64" spans="1:17" ht="14.1" customHeight="1" x14ac:dyDescent="0.2">
      <c r="A64" s="7" t="s">
        <v>248</v>
      </c>
      <c r="B64" s="7" t="s">
        <v>247</v>
      </c>
      <c r="C64" s="7" t="s">
        <v>460</v>
      </c>
      <c r="D64" s="7" t="s">
        <v>53</v>
      </c>
      <c r="E64" s="8" t="s">
        <v>54</v>
      </c>
      <c r="F64" s="7" t="s">
        <v>118</v>
      </c>
      <c r="G64" s="7" t="s">
        <v>119</v>
      </c>
      <c r="H64" s="7" t="s">
        <v>55</v>
      </c>
      <c r="I64" s="7">
        <v>2</v>
      </c>
      <c r="J64" s="7" t="s">
        <v>53</v>
      </c>
      <c r="K64" s="7" cm="1">
        <f t="array" ref="K64">_xlfn.IFS(H64="EL-2201",999,'Raw Sales Data'!H64="EL-2205",1299,'Raw Sales Data'!H64="EL-2210",1099,'Raw Sales Data'!H64="CL-1102",89,'Raw Sales Data'!H64="CL-1108",79,'Raw Sales Data'!H64="CL-1120",95,'Raw Sales Data'!H64="HA-3301",549,'Raw Sales Data'!H64="HA-3305",399,'Raw Sales Data'!H64="HA-3308",129,'Raw Sales Data'!H64="BE-4401",42,'Raw Sales Data'!H64="BE-4402",125,'Raw Sales Data'!H64="BE-4408",58,'Raw Sales Data'!H64="SP-5501",1495,'Raw Sales Data'!H64="SP-5505",299,'Raw Sales Data'!H64="SP-5510",249)</f>
        <v>1299</v>
      </c>
      <c r="L64" s="7" t="s">
        <v>249</v>
      </c>
      <c r="M64" s="39">
        <f t="shared" si="0"/>
        <v>2598</v>
      </c>
      <c r="N64" s="7" t="s">
        <v>57</v>
      </c>
      <c r="O64" s="7" t="s">
        <v>58</v>
      </c>
      <c r="Q64" s="38"/>
    </row>
    <row r="65" spans="1:17" ht="14.1" customHeight="1" x14ac:dyDescent="0.2">
      <c r="A65" s="9" t="s">
        <v>250</v>
      </c>
      <c r="B65" s="9" t="s">
        <v>251</v>
      </c>
      <c r="C65" s="9" t="s">
        <v>460</v>
      </c>
      <c r="D65" s="9" t="s">
        <v>61</v>
      </c>
      <c r="E65" s="4" t="s">
        <v>365</v>
      </c>
      <c r="F65" s="9" t="s">
        <v>118</v>
      </c>
      <c r="G65" s="9" t="s">
        <v>119</v>
      </c>
      <c r="H65" s="9" t="s">
        <v>62</v>
      </c>
      <c r="I65" s="9">
        <v>1</v>
      </c>
      <c r="J65" s="9" t="s">
        <v>61</v>
      </c>
      <c r="K65" s="38" cm="1">
        <f t="array" ref="K65">_xlfn.IFS(H65="EL-2201",999,'Raw Sales Data'!H65="EL-2205",1299,'Raw Sales Data'!H65="EL-2210",1099,'Raw Sales Data'!H65="CL-1102",89,'Raw Sales Data'!H65="CL-1108",79,'Raw Sales Data'!H65="CL-1120",95,'Raw Sales Data'!H65="HA-3301",549,'Raw Sales Data'!H65="HA-3305",399,'Raw Sales Data'!H65="HA-3308",129,'Raw Sales Data'!H65="BE-4401",42,'Raw Sales Data'!H65="BE-4402",125,'Raw Sales Data'!H65="BE-4408",58,'Raw Sales Data'!H65="SP-5501",1495,'Raw Sales Data'!H65="SP-5505",299,'Raw Sales Data'!H65="SP-5510",249)</f>
        <v>1099</v>
      </c>
      <c r="L65" s="9" t="s">
        <v>252</v>
      </c>
      <c r="M65" s="40">
        <f t="shared" si="0"/>
        <v>1099</v>
      </c>
      <c r="N65" s="9" t="s">
        <v>64</v>
      </c>
      <c r="O65" s="9" t="s">
        <v>58</v>
      </c>
      <c r="Q65" s="38"/>
    </row>
    <row r="66" spans="1:17" ht="14.1" customHeight="1" x14ac:dyDescent="0.2">
      <c r="A66" s="7" t="s">
        <v>253</v>
      </c>
      <c r="B66" s="7" t="s">
        <v>254</v>
      </c>
      <c r="C66" s="7" t="s">
        <v>460</v>
      </c>
      <c r="D66" s="7" t="s">
        <v>67</v>
      </c>
      <c r="E66" s="8" t="s">
        <v>366</v>
      </c>
      <c r="F66" s="7" t="s">
        <v>118</v>
      </c>
      <c r="G66" s="7" t="s">
        <v>119</v>
      </c>
      <c r="H66" s="7" t="s">
        <v>68</v>
      </c>
      <c r="I66" s="7">
        <v>3</v>
      </c>
      <c r="J66" s="7" t="s">
        <v>67</v>
      </c>
      <c r="K66" s="7" cm="1">
        <f t="array" ref="K66">_xlfn.IFS(H66="EL-2201",999,'Raw Sales Data'!H66="EL-2205",1299,'Raw Sales Data'!H66="EL-2210",1099,'Raw Sales Data'!H66="CL-1102",89,'Raw Sales Data'!H66="CL-1108",79,'Raw Sales Data'!H66="CL-1120",95,'Raw Sales Data'!H66="HA-3301",549,'Raw Sales Data'!H66="HA-3305",399,'Raw Sales Data'!H66="HA-3308",129,'Raw Sales Data'!H66="BE-4401",42,'Raw Sales Data'!H66="BE-4402",125,'Raw Sales Data'!H66="BE-4408",58,'Raw Sales Data'!H66="SP-5501",1495,'Raw Sales Data'!H66="SP-5505",299,'Raw Sales Data'!H66="SP-5510",249)</f>
        <v>89</v>
      </c>
      <c r="L66" s="7" t="s">
        <v>255</v>
      </c>
      <c r="M66" s="39">
        <f t="shared" si="0"/>
        <v>267</v>
      </c>
      <c r="N66" s="7" t="s">
        <v>70</v>
      </c>
      <c r="O66" s="7" t="s">
        <v>58</v>
      </c>
      <c r="Q66" s="38"/>
    </row>
    <row r="67" spans="1:17" ht="14.1" customHeight="1" x14ac:dyDescent="0.2">
      <c r="A67" s="9" t="s">
        <v>256</v>
      </c>
      <c r="B67" s="9" t="s">
        <v>255</v>
      </c>
      <c r="C67" s="9" t="s">
        <v>460</v>
      </c>
      <c r="D67" s="9" t="s">
        <v>72</v>
      </c>
      <c r="E67" s="4" t="s">
        <v>367</v>
      </c>
      <c r="F67" s="9" t="s">
        <v>73</v>
      </c>
      <c r="G67" s="9" t="s">
        <v>74</v>
      </c>
      <c r="H67" s="9" t="s">
        <v>75</v>
      </c>
      <c r="I67" s="9">
        <v>1</v>
      </c>
      <c r="J67" s="9" t="s">
        <v>72</v>
      </c>
      <c r="K67" s="38" cm="1">
        <f t="array" ref="K67">_xlfn.IFS(H67="EL-2201",999,'Raw Sales Data'!H67="EL-2205",1299,'Raw Sales Data'!H67="EL-2210",1099,'Raw Sales Data'!H67="CL-1102",89,'Raw Sales Data'!H67="CL-1108",79,'Raw Sales Data'!H67="CL-1120",95,'Raw Sales Data'!H67="HA-3301",549,'Raw Sales Data'!H67="HA-3305",399,'Raw Sales Data'!H67="HA-3308",129,'Raw Sales Data'!H67="BE-4401",42,'Raw Sales Data'!H67="BE-4402",125,'Raw Sales Data'!H67="BE-4408",58,'Raw Sales Data'!H67="SP-5501",1495,'Raw Sales Data'!H67="SP-5505",299,'Raw Sales Data'!H67="SP-5510",249)</f>
        <v>79</v>
      </c>
      <c r="L67" s="9" t="s">
        <v>254</v>
      </c>
      <c r="M67" s="40">
        <f t="shared" si="0"/>
        <v>79</v>
      </c>
      <c r="N67" s="9" t="s">
        <v>57</v>
      </c>
      <c r="O67" s="9" t="s">
        <v>58</v>
      </c>
      <c r="Q67" s="38"/>
    </row>
    <row r="68" spans="1:17" ht="14.1" customHeight="1" x14ac:dyDescent="0.2">
      <c r="A68" s="7" t="s">
        <v>257</v>
      </c>
      <c r="B68" s="7" t="s">
        <v>258</v>
      </c>
      <c r="C68" s="7" t="s">
        <v>461</v>
      </c>
      <c r="D68" s="7" t="s">
        <v>78</v>
      </c>
      <c r="E68" s="8" t="s">
        <v>368</v>
      </c>
      <c r="F68" s="7" t="s">
        <v>73</v>
      </c>
      <c r="G68" s="7" t="s">
        <v>74</v>
      </c>
      <c r="H68" s="7" t="s">
        <v>79</v>
      </c>
      <c r="I68" s="7">
        <v>2</v>
      </c>
      <c r="J68" s="7" t="s">
        <v>78</v>
      </c>
      <c r="K68" s="7" cm="1">
        <f t="array" ref="K68">_xlfn.IFS(H68="EL-2201",999,'Raw Sales Data'!H68="EL-2205",1299,'Raw Sales Data'!H68="EL-2210",1099,'Raw Sales Data'!H68="CL-1102",89,'Raw Sales Data'!H68="CL-1108",79,'Raw Sales Data'!H68="CL-1120",95,'Raw Sales Data'!H68="HA-3301",549,'Raw Sales Data'!H68="HA-3305",399,'Raw Sales Data'!H68="HA-3308",129,'Raw Sales Data'!H68="BE-4401",42,'Raw Sales Data'!H68="BE-4402",125,'Raw Sales Data'!H68="BE-4408",58,'Raw Sales Data'!H68="SP-5501",1495,'Raw Sales Data'!H68="SP-5505",299,'Raw Sales Data'!H68="SP-5510",249)</f>
        <v>95</v>
      </c>
      <c r="L68" s="7" t="s">
        <v>259</v>
      </c>
      <c r="M68" s="39">
        <f t="shared" si="0"/>
        <v>190</v>
      </c>
      <c r="N68" s="7" t="s">
        <v>64</v>
      </c>
      <c r="O68" s="7" t="s">
        <v>58</v>
      </c>
      <c r="Q68" s="38"/>
    </row>
    <row r="69" spans="1:17" ht="14.1" customHeight="1" x14ac:dyDescent="0.2">
      <c r="A69" s="9" t="s">
        <v>260</v>
      </c>
      <c r="B69" s="9" t="s">
        <v>261</v>
      </c>
      <c r="C69" s="9" t="s">
        <v>461</v>
      </c>
      <c r="D69" s="9" t="s">
        <v>83</v>
      </c>
      <c r="E69" s="4" t="s">
        <v>84</v>
      </c>
      <c r="F69" s="9" t="s">
        <v>73</v>
      </c>
      <c r="G69" s="9" t="s">
        <v>85</v>
      </c>
      <c r="H69" s="9" t="s">
        <v>86</v>
      </c>
      <c r="I69" s="9">
        <v>1</v>
      </c>
      <c r="J69" s="9" t="s">
        <v>83</v>
      </c>
      <c r="K69" s="38" cm="1">
        <f t="array" ref="K69">_xlfn.IFS(H69="EL-2201",999,'Raw Sales Data'!H69="EL-2205",1299,'Raw Sales Data'!H69="EL-2210",1099,'Raw Sales Data'!H69="CL-1102",89,'Raw Sales Data'!H69="CL-1108",79,'Raw Sales Data'!H69="CL-1120",95,'Raw Sales Data'!H69="HA-3301",549,'Raw Sales Data'!H69="HA-3305",399,'Raw Sales Data'!H69="HA-3308",129,'Raw Sales Data'!H69="BE-4401",42,'Raw Sales Data'!H69="BE-4402",125,'Raw Sales Data'!H69="BE-4408",58,'Raw Sales Data'!H69="SP-5501",1495,'Raw Sales Data'!H69="SP-5505",299,'Raw Sales Data'!H69="SP-5510",249)</f>
        <v>549</v>
      </c>
      <c r="L69" s="9" t="s">
        <v>262</v>
      </c>
      <c r="M69" s="40">
        <f t="shared" ref="M69:M99" si="1">K69*I69</f>
        <v>549</v>
      </c>
      <c r="N69" s="9" t="s">
        <v>70</v>
      </c>
      <c r="O69" s="9" t="s">
        <v>115</v>
      </c>
      <c r="Q69" s="38"/>
    </row>
    <row r="70" spans="1:17" ht="14.1" customHeight="1" x14ac:dyDescent="0.2">
      <c r="A70" s="7" t="s">
        <v>263</v>
      </c>
      <c r="B70" s="7" t="s">
        <v>262</v>
      </c>
      <c r="C70" s="7" t="s">
        <v>461</v>
      </c>
      <c r="D70" s="7" t="s">
        <v>89</v>
      </c>
      <c r="E70" s="8" t="s">
        <v>90</v>
      </c>
      <c r="F70" s="7" t="s">
        <v>91</v>
      </c>
      <c r="G70" s="7" t="s">
        <v>85</v>
      </c>
      <c r="H70" s="7" t="s">
        <v>92</v>
      </c>
      <c r="I70" s="7" t="s">
        <v>436</v>
      </c>
      <c r="J70" s="7" t="s">
        <v>89</v>
      </c>
      <c r="K70" s="7" cm="1">
        <f t="array" ref="K70">_xlfn.IFS(H70="EL-2201",999,'Raw Sales Data'!H70="EL-2205",1299,'Raw Sales Data'!H70="EL-2210",1099,'Raw Sales Data'!H70="CL-1102",89,'Raw Sales Data'!H70="CL-1108",79,'Raw Sales Data'!H70="CL-1120",95,'Raw Sales Data'!H70="HA-3301",549,'Raw Sales Data'!H70="HA-3305",399,'Raw Sales Data'!H70="HA-3308",129,'Raw Sales Data'!H70="BE-4401",42,'Raw Sales Data'!H70="BE-4402",125,'Raw Sales Data'!H70="BE-4408",58,'Raw Sales Data'!H70="SP-5501",1495,'Raw Sales Data'!H70="SP-5505",299,'Raw Sales Data'!H70="SP-5510",249)</f>
        <v>399</v>
      </c>
      <c r="L70" s="7" t="s">
        <v>264</v>
      </c>
      <c r="M70" s="39">
        <f t="shared" si="1"/>
        <v>399</v>
      </c>
      <c r="N70" s="7" t="s">
        <v>57</v>
      </c>
      <c r="O70" s="7" t="s">
        <v>58</v>
      </c>
      <c r="Q70" s="38"/>
    </row>
    <row r="71" spans="1:17" ht="14.1" customHeight="1" x14ac:dyDescent="0.2">
      <c r="A71" s="9" t="s">
        <v>265</v>
      </c>
      <c r="B71" s="9" t="s">
        <v>266</v>
      </c>
      <c r="C71" s="9" t="s">
        <v>461</v>
      </c>
      <c r="D71" s="9" t="s">
        <v>96</v>
      </c>
      <c r="E71" s="4" t="s">
        <v>369</v>
      </c>
      <c r="F71" s="9" t="s">
        <v>91</v>
      </c>
      <c r="G71" s="9" t="s">
        <v>97</v>
      </c>
      <c r="H71" s="9" t="s">
        <v>98</v>
      </c>
      <c r="I71" s="9">
        <v>1</v>
      </c>
      <c r="J71" s="9" t="s">
        <v>96</v>
      </c>
      <c r="K71" s="38" cm="1">
        <f t="array" ref="K71">_xlfn.IFS(H71="EL-2201",999,'Raw Sales Data'!H71="EL-2205",1299,'Raw Sales Data'!H71="EL-2210",1099,'Raw Sales Data'!H71="CL-1102",89,'Raw Sales Data'!H71="CL-1108",79,'Raw Sales Data'!H71="CL-1120",95,'Raw Sales Data'!H71="HA-3301",549,'Raw Sales Data'!H71="HA-3305",399,'Raw Sales Data'!H71="HA-3308",129,'Raw Sales Data'!H71="BE-4401",42,'Raw Sales Data'!H71="BE-4402",125,'Raw Sales Data'!H71="BE-4408",58,'Raw Sales Data'!H71="SP-5501",1495,'Raw Sales Data'!H71="SP-5505",299,'Raw Sales Data'!H71="SP-5510",249)</f>
        <v>129</v>
      </c>
      <c r="L71" s="9" t="s">
        <v>267</v>
      </c>
      <c r="M71" s="40">
        <f t="shared" si="1"/>
        <v>129</v>
      </c>
      <c r="N71" s="9" t="s">
        <v>64</v>
      </c>
      <c r="O71" s="9" t="s">
        <v>58</v>
      </c>
      <c r="Q71" s="38"/>
    </row>
    <row r="72" spans="1:17" ht="14.1" customHeight="1" x14ac:dyDescent="0.2">
      <c r="A72" s="7" t="s">
        <v>268</v>
      </c>
      <c r="B72" s="7" t="s">
        <v>269</v>
      </c>
      <c r="C72" s="7" t="s">
        <v>461</v>
      </c>
      <c r="D72" s="7" t="s">
        <v>102</v>
      </c>
      <c r="E72" s="8" t="s">
        <v>103</v>
      </c>
      <c r="F72" s="7" t="s">
        <v>91</v>
      </c>
      <c r="G72" s="7" t="s">
        <v>97</v>
      </c>
      <c r="H72" s="7" t="s">
        <v>104</v>
      </c>
      <c r="I72" s="7">
        <v>2</v>
      </c>
      <c r="J72" s="7" t="s">
        <v>102</v>
      </c>
      <c r="K72" s="7" cm="1">
        <f t="array" ref="K72">_xlfn.IFS(H72="EL-2201",999,'Raw Sales Data'!H72="EL-2205",1299,'Raw Sales Data'!H72="EL-2210",1099,'Raw Sales Data'!H72="CL-1102",89,'Raw Sales Data'!H72="CL-1108",79,'Raw Sales Data'!H72="CL-1120",95,'Raw Sales Data'!H72="HA-3301",549,'Raw Sales Data'!H72="HA-3305",399,'Raw Sales Data'!H72="HA-3308",129,'Raw Sales Data'!H72="BE-4401",42,'Raw Sales Data'!H72="BE-4402",125,'Raw Sales Data'!H72="BE-4408",58,'Raw Sales Data'!H72="SP-5501",1495,'Raw Sales Data'!H72="SP-5505",299,'Raw Sales Data'!H72="SP-5510",249)</f>
        <v>42</v>
      </c>
      <c r="L72" s="7" t="s">
        <v>270</v>
      </c>
      <c r="M72" s="39">
        <f t="shared" si="1"/>
        <v>84</v>
      </c>
      <c r="N72" s="7" t="s">
        <v>70</v>
      </c>
      <c r="O72" s="7" t="s">
        <v>58</v>
      </c>
      <c r="Q72" s="38"/>
    </row>
    <row r="73" spans="1:17" ht="14.1" customHeight="1" x14ac:dyDescent="0.2">
      <c r="A73" s="9" t="s">
        <v>271</v>
      </c>
      <c r="B73" s="9" t="s">
        <v>270</v>
      </c>
      <c r="C73" s="9" t="s">
        <v>461</v>
      </c>
      <c r="D73" s="9" t="s">
        <v>107</v>
      </c>
      <c r="E73" s="4" t="s">
        <v>363</v>
      </c>
      <c r="F73" s="9" t="s">
        <v>108</v>
      </c>
      <c r="G73" s="9" t="s">
        <v>109</v>
      </c>
      <c r="H73" s="9" t="s">
        <v>110</v>
      </c>
      <c r="I73" s="9">
        <v>1</v>
      </c>
      <c r="J73" s="9" t="s">
        <v>107</v>
      </c>
      <c r="K73" s="38" cm="1">
        <f t="array" ref="K73">_xlfn.IFS(H73="EL-2201",999,'Raw Sales Data'!H73="EL-2205",1299,'Raw Sales Data'!H73="EL-2210",1099,'Raw Sales Data'!H73="CL-1102",89,'Raw Sales Data'!H73="CL-1108",79,'Raw Sales Data'!H73="CL-1120",95,'Raw Sales Data'!H73="HA-3301",549,'Raw Sales Data'!H73="HA-3305",399,'Raw Sales Data'!H73="HA-3308",129,'Raw Sales Data'!H73="BE-4401",42,'Raw Sales Data'!H73="BE-4402",125,'Raw Sales Data'!H73="BE-4408",58,'Raw Sales Data'!H73="SP-5501",1495,'Raw Sales Data'!H73="SP-5505",299,'Raw Sales Data'!H73="SP-5510",249)</f>
        <v>125</v>
      </c>
      <c r="L73" s="9" t="s">
        <v>272</v>
      </c>
      <c r="M73" s="40">
        <f t="shared" si="1"/>
        <v>125</v>
      </c>
      <c r="N73" s="9" t="s">
        <v>57</v>
      </c>
      <c r="O73" s="9" t="s">
        <v>58</v>
      </c>
      <c r="Q73" s="38"/>
    </row>
    <row r="74" spans="1:17" ht="14.1" customHeight="1" x14ac:dyDescent="0.2">
      <c r="A74" s="7" t="s">
        <v>273</v>
      </c>
      <c r="B74" s="7" t="s">
        <v>272</v>
      </c>
      <c r="C74" s="7" t="s">
        <v>461</v>
      </c>
      <c r="D74" s="7" t="s">
        <v>53</v>
      </c>
      <c r="E74" s="8" t="s">
        <v>54</v>
      </c>
      <c r="F74" s="7" t="s">
        <v>108</v>
      </c>
      <c r="G74" s="7" t="s">
        <v>109</v>
      </c>
      <c r="H74" s="7" t="s">
        <v>113</v>
      </c>
      <c r="I74" s="7">
        <v>2</v>
      </c>
      <c r="J74" s="7" t="s">
        <v>53</v>
      </c>
      <c r="K74" s="7" cm="1">
        <f t="array" ref="K74">_xlfn.IFS(H74="EL-2201",999,'Raw Sales Data'!H74="EL-2205",1299,'Raw Sales Data'!H74="EL-2210",1099,'Raw Sales Data'!H74="CL-1102",89,'Raw Sales Data'!H74="CL-1108",79,'Raw Sales Data'!H74="CL-1120",95,'Raw Sales Data'!H74="HA-3301",549,'Raw Sales Data'!H74="HA-3305",399,'Raw Sales Data'!H74="HA-3308",129,'Raw Sales Data'!H74="BE-4401",42,'Raw Sales Data'!H74="BE-4402",125,'Raw Sales Data'!H74="BE-4408",58,'Raw Sales Data'!H74="SP-5501",1495,'Raw Sales Data'!H74="SP-5505",299,'Raw Sales Data'!H74="SP-5510",249)</f>
        <v>58</v>
      </c>
      <c r="L74" s="7" t="s">
        <v>274</v>
      </c>
      <c r="M74" s="39">
        <f t="shared" si="1"/>
        <v>116</v>
      </c>
      <c r="N74" s="7" t="s">
        <v>64</v>
      </c>
      <c r="O74" s="7" t="s">
        <v>58</v>
      </c>
      <c r="Q74" s="38"/>
    </row>
    <row r="75" spans="1:17" ht="14.1" customHeight="1" x14ac:dyDescent="0.2">
      <c r="A75" s="9" t="s">
        <v>275</v>
      </c>
      <c r="B75" s="9" t="s">
        <v>276</v>
      </c>
      <c r="C75" s="9" t="s">
        <v>461</v>
      </c>
      <c r="D75" s="9" t="s">
        <v>61</v>
      </c>
      <c r="E75" s="4" t="s">
        <v>365</v>
      </c>
      <c r="F75" s="9" t="s">
        <v>118</v>
      </c>
      <c r="G75" s="9" t="s">
        <v>119</v>
      </c>
      <c r="H75" s="9" t="s">
        <v>120</v>
      </c>
      <c r="I75" s="9">
        <v>1</v>
      </c>
      <c r="J75" s="9" t="s">
        <v>61</v>
      </c>
      <c r="K75" s="38" cm="1">
        <f t="array" ref="K75">_xlfn.IFS(H75="EL-2201",999,'Raw Sales Data'!H75="EL-2205",1299,'Raw Sales Data'!H75="EL-2210",1099,'Raw Sales Data'!H75="CL-1102",89,'Raw Sales Data'!H75="CL-1108",79,'Raw Sales Data'!H75="CL-1120",95,'Raw Sales Data'!H75="HA-3301",549,'Raw Sales Data'!H75="HA-3305",399,'Raw Sales Data'!H75="HA-3308",129,'Raw Sales Data'!H75="BE-4401",42,'Raw Sales Data'!H75="BE-4402",125,'Raw Sales Data'!H75="BE-4408",58,'Raw Sales Data'!H75="SP-5501",1495,'Raw Sales Data'!H75="SP-5505",299,'Raw Sales Data'!H75="SP-5510",249)</f>
        <v>1495</v>
      </c>
      <c r="L75" s="9" t="s">
        <v>277</v>
      </c>
      <c r="M75" s="40">
        <f t="shared" si="1"/>
        <v>1495</v>
      </c>
      <c r="N75" s="9" t="s">
        <v>70</v>
      </c>
      <c r="O75" s="9" t="s">
        <v>58</v>
      </c>
      <c r="Q75" s="38"/>
    </row>
    <row r="76" spans="1:17" ht="14.1" customHeight="1" x14ac:dyDescent="0.2">
      <c r="A76" s="7" t="s">
        <v>278</v>
      </c>
      <c r="B76" s="7" t="s">
        <v>279</v>
      </c>
      <c r="C76" s="7" t="s">
        <v>462</v>
      </c>
      <c r="D76" s="7" t="s">
        <v>67</v>
      </c>
      <c r="E76" s="8" t="s">
        <v>366</v>
      </c>
      <c r="F76" s="7" t="s">
        <v>118</v>
      </c>
      <c r="G76" s="7" t="s">
        <v>119</v>
      </c>
      <c r="H76" s="7" t="s">
        <v>124</v>
      </c>
      <c r="I76" s="7">
        <v>3</v>
      </c>
      <c r="J76" s="7" t="s">
        <v>67</v>
      </c>
      <c r="K76" s="7" cm="1">
        <f t="array" ref="K76">_xlfn.IFS(H76="EL-2201",999,'Raw Sales Data'!H76="EL-2205",1299,'Raw Sales Data'!H76="EL-2210",1099,'Raw Sales Data'!H76="CL-1102",89,'Raw Sales Data'!H76="CL-1108",79,'Raw Sales Data'!H76="CL-1120",95,'Raw Sales Data'!H76="HA-3301",549,'Raw Sales Data'!H76="HA-3305",399,'Raw Sales Data'!H76="HA-3308",129,'Raw Sales Data'!H76="BE-4401",42,'Raw Sales Data'!H76="BE-4402",125,'Raw Sales Data'!H76="BE-4408",58,'Raw Sales Data'!H76="SP-5501",1495,'Raw Sales Data'!H76="SP-5505",299,'Raw Sales Data'!H76="SP-5510",249)</f>
        <v>299</v>
      </c>
      <c r="L76" s="7" t="s">
        <v>280</v>
      </c>
      <c r="M76" s="39">
        <f t="shared" si="1"/>
        <v>897</v>
      </c>
      <c r="N76" s="7" t="s">
        <v>57</v>
      </c>
      <c r="O76" s="7" t="s">
        <v>58</v>
      </c>
      <c r="Q76" s="38"/>
    </row>
    <row r="77" spans="1:17" ht="14.1" customHeight="1" x14ac:dyDescent="0.2">
      <c r="A77" s="9" t="s">
        <v>281</v>
      </c>
      <c r="B77" s="9" t="s">
        <v>280</v>
      </c>
      <c r="C77" s="9" t="s">
        <v>462</v>
      </c>
      <c r="D77" s="9" t="s">
        <v>72</v>
      </c>
      <c r="E77" s="4" t="s">
        <v>367</v>
      </c>
      <c r="F77" s="9" t="s">
        <v>118</v>
      </c>
      <c r="G77" s="9" t="s">
        <v>119</v>
      </c>
      <c r="H77" s="9" t="s">
        <v>127</v>
      </c>
      <c r="I77" s="9">
        <v>1</v>
      </c>
      <c r="J77" s="9" t="s">
        <v>72</v>
      </c>
      <c r="K77" s="38" cm="1">
        <f t="array" ref="K77">_xlfn.IFS(H77="EL-2201",999,'Raw Sales Data'!H77="EL-2205",1299,'Raw Sales Data'!H77="EL-2210",1099,'Raw Sales Data'!H77="CL-1102",89,'Raw Sales Data'!H77="CL-1108",79,'Raw Sales Data'!H77="CL-1120",95,'Raw Sales Data'!H77="HA-3301",549,'Raw Sales Data'!H77="HA-3305",399,'Raw Sales Data'!H77="HA-3308",129,'Raw Sales Data'!H77="BE-4401",42,'Raw Sales Data'!H77="BE-4402",125,'Raw Sales Data'!H77="BE-4408",58,'Raw Sales Data'!H77="SP-5501",1495,'Raw Sales Data'!H77="SP-5505",299,'Raw Sales Data'!H77="SP-5510",249)</f>
        <v>249</v>
      </c>
      <c r="L77" s="9" t="s">
        <v>279</v>
      </c>
      <c r="M77" s="40">
        <f t="shared" si="1"/>
        <v>249</v>
      </c>
      <c r="N77" s="9" t="s">
        <v>64</v>
      </c>
      <c r="O77" s="9" t="s">
        <v>58</v>
      </c>
      <c r="Q77" s="38"/>
    </row>
    <row r="78" spans="1:17" ht="14.1" customHeight="1" x14ac:dyDescent="0.2">
      <c r="A78" s="7" t="s">
        <v>282</v>
      </c>
      <c r="B78" s="7" t="s">
        <v>283</v>
      </c>
      <c r="C78" s="7" t="s">
        <v>462</v>
      </c>
      <c r="D78" s="7" t="s">
        <v>78</v>
      </c>
      <c r="E78" s="8" t="s">
        <v>368</v>
      </c>
      <c r="F78" s="7" t="s">
        <v>118</v>
      </c>
      <c r="G78" s="7" t="s">
        <v>119</v>
      </c>
      <c r="H78" s="7" t="s">
        <v>130</v>
      </c>
      <c r="I78" s="7">
        <v>2</v>
      </c>
      <c r="J78" s="7" t="s">
        <v>78</v>
      </c>
      <c r="K78" s="7" cm="1">
        <f t="array" ref="K78">_xlfn.IFS(H78="EL-2201",999,'Raw Sales Data'!H78="EL-2205",1299,'Raw Sales Data'!H78="EL-2210",1099,'Raw Sales Data'!H78="CL-1102",89,'Raw Sales Data'!H78="CL-1108",79,'Raw Sales Data'!H78="CL-1120",95,'Raw Sales Data'!H78="HA-3301",549,'Raw Sales Data'!H78="HA-3305",399,'Raw Sales Data'!H78="HA-3308",129,'Raw Sales Data'!H78="BE-4401",42,'Raw Sales Data'!H78="BE-4402",125,'Raw Sales Data'!H78="BE-4408",58,'Raw Sales Data'!H78="SP-5501",1495,'Raw Sales Data'!H78="SP-5505",299,'Raw Sales Data'!H78="SP-5510",249)</f>
        <v>999</v>
      </c>
      <c r="L78" s="7" t="s">
        <v>284</v>
      </c>
      <c r="M78" s="39">
        <f t="shared" si="1"/>
        <v>1998</v>
      </c>
      <c r="N78" s="7" t="s">
        <v>70</v>
      </c>
      <c r="O78" s="7" t="s">
        <v>58</v>
      </c>
      <c r="Q78" s="38"/>
    </row>
    <row r="79" spans="1:17" ht="14.1" customHeight="1" x14ac:dyDescent="0.2">
      <c r="A79" s="9" t="s">
        <v>285</v>
      </c>
      <c r="B79" s="9" t="s">
        <v>286</v>
      </c>
      <c r="C79" s="9" t="s">
        <v>462</v>
      </c>
      <c r="D79" s="9" t="s">
        <v>83</v>
      </c>
      <c r="E79" s="4" t="s">
        <v>84</v>
      </c>
      <c r="F79" s="9" t="s">
        <v>73</v>
      </c>
      <c r="G79" s="9" t="s">
        <v>74</v>
      </c>
      <c r="H79" s="9" t="s">
        <v>55</v>
      </c>
      <c r="I79" s="9">
        <v>1</v>
      </c>
      <c r="J79" s="9" t="s">
        <v>83</v>
      </c>
      <c r="K79" s="38" cm="1">
        <f t="array" ref="K79">_xlfn.IFS(H79="EL-2201",999,'Raw Sales Data'!H79="EL-2205",1299,'Raw Sales Data'!H79="EL-2210",1099,'Raw Sales Data'!H79="CL-1102",89,'Raw Sales Data'!H79="CL-1108",79,'Raw Sales Data'!H79="CL-1120",95,'Raw Sales Data'!H79="HA-3301",549,'Raw Sales Data'!H79="HA-3305",399,'Raw Sales Data'!H79="HA-3308",129,'Raw Sales Data'!H79="BE-4401",42,'Raw Sales Data'!H79="BE-4402",125,'Raw Sales Data'!H79="BE-4408",58,'Raw Sales Data'!H79="SP-5501",1495,'Raw Sales Data'!H79="SP-5505",299,'Raw Sales Data'!H79="SP-5510",249)</f>
        <v>1299</v>
      </c>
      <c r="L79" s="9" t="s">
        <v>287</v>
      </c>
      <c r="M79" s="40">
        <f t="shared" si="1"/>
        <v>1299</v>
      </c>
      <c r="N79" s="9" t="s">
        <v>57</v>
      </c>
      <c r="O79" s="9" t="s">
        <v>58</v>
      </c>
      <c r="Q79" s="38"/>
    </row>
    <row r="80" spans="1:17" ht="14.1" customHeight="1" x14ac:dyDescent="0.2">
      <c r="A80" s="7" t="s">
        <v>288</v>
      </c>
      <c r="B80" s="7" t="s">
        <v>287</v>
      </c>
      <c r="C80" s="7" t="s">
        <v>462</v>
      </c>
      <c r="D80" s="7" t="s">
        <v>89</v>
      </c>
      <c r="E80" s="8" t="s">
        <v>90</v>
      </c>
      <c r="F80" s="7" t="s">
        <v>73</v>
      </c>
      <c r="G80" s="7" t="s">
        <v>74</v>
      </c>
      <c r="H80" s="7" t="s">
        <v>62</v>
      </c>
      <c r="I80" s="7" t="s">
        <v>436</v>
      </c>
      <c r="J80" s="7" t="s">
        <v>89</v>
      </c>
      <c r="K80" s="7" cm="1">
        <f t="array" ref="K80">_xlfn.IFS(H80="EL-2201",999,'Raw Sales Data'!H80="EL-2205",1299,'Raw Sales Data'!H80="EL-2210",1099,'Raw Sales Data'!H80="CL-1102",89,'Raw Sales Data'!H80="CL-1108",79,'Raw Sales Data'!H80="CL-1120",95,'Raw Sales Data'!H80="HA-3301",549,'Raw Sales Data'!H80="HA-3305",399,'Raw Sales Data'!H80="HA-3308",129,'Raw Sales Data'!H80="BE-4401",42,'Raw Sales Data'!H80="BE-4402",125,'Raw Sales Data'!H80="BE-4408",58,'Raw Sales Data'!H80="SP-5501",1495,'Raw Sales Data'!H80="SP-5505",299,'Raw Sales Data'!H80="SP-5510",249)</f>
        <v>1099</v>
      </c>
      <c r="L80" s="7" t="s">
        <v>289</v>
      </c>
      <c r="M80" s="39">
        <f t="shared" si="1"/>
        <v>1099</v>
      </c>
      <c r="N80" s="7" t="s">
        <v>64</v>
      </c>
      <c r="O80" s="7" t="s">
        <v>115</v>
      </c>
      <c r="Q80" s="38"/>
    </row>
    <row r="81" spans="1:17" ht="14.1" customHeight="1" x14ac:dyDescent="0.2">
      <c r="A81" s="9" t="s">
        <v>290</v>
      </c>
      <c r="B81" s="9" t="s">
        <v>291</v>
      </c>
      <c r="C81" s="9" t="s">
        <v>462</v>
      </c>
      <c r="D81" s="9" t="s">
        <v>96</v>
      </c>
      <c r="E81" s="4" t="s">
        <v>369</v>
      </c>
      <c r="F81" s="9" t="s">
        <v>73</v>
      </c>
      <c r="G81" s="9" t="s">
        <v>85</v>
      </c>
      <c r="H81" s="9" t="s">
        <v>68</v>
      </c>
      <c r="I81" s="9">
        <v>1</v>
      </c>
      <c r="J81" s="9" t="s">
        <v>96</v>
      </c>
      <c r="K81" s="38" cm="1">
        <f t="array" ref="K81">_xlfn.IFS(H81="EL-2201",999,'Raw Sales Data'!H81="EL-2205",1299,'Raw Sales Data'!H81="EL-2210",1099,'Raw Sales Data'!H81="CL-1102",89,'Raw Sales Data'!H81="CL-1108",79,'Raw Sales Data'!H81="CL-1120",95,'Raw Sales Data'!H81="HA-3301",549,'Raw Sales Data'!H81="HA-3305",399,'Raw Sales Data'!H81="HA-3308",129,'Raw Sales Data'!H81="BE-4401",42,'Raw Sales Data'!H81="BE-4402",125,'Raw Sales Data'!H81="BE-4408",58,'Raw Sales Data'!H81="SP-5501",1495,'Raw Sales Data'!H81="SP-5505",299,'Raw Sales Data'!H81="SP-5510",249)</f>
        <v>89</v>
      </c>
      <c r="L81" s="9" t="s">
        <v>292</v>
      </c>
      <c r="M81" s="40">
        <f t="shared" si="1"/>
        <v>89</v>
      </c>
      <c r="N81" s="9" t="s">
        <v>70</v>
      </c>
      <c r="O81" s="9" t="s">
        <v>58</v>
      </c>
      <c r="Q81" s="38"/>
    </row>
    <row r="82" spans="1:17" ht="14.1" customHeight="1" x14ac:dyDescent="0.2">
      <c r="A82" s="7" t="s">
        <v>293</v>
      </c>
      <c r="B82" s="7" t="s">
        <v>294</v>
      </c>
      <c r="C82" s="7" t="s">
        <v>462</v>
      </c>
      <c r="D82" s="7" t="s">
        <v>102</v>
      </c>
      <c r="E82" s="8" t="s">
        <v>103</v>
      </c>
      <c r="F82" s="7" t="s">
        <v>91</v>
      </c>
      <c r="G82" s="7" t="s">
        <v>85</v>
      </c>
      <c r="H82" s="7" t="s">
        <v>75</v>
      </c>
      <c r="I82" s="7">
        <v>2</v>
      </c>
      <c r="J82" s="7" t="s">
        <v>102</v>
      </c>
      <c r="K82" s="7" cm="1">
        <f t="array" ref="K82">_xlfn.IFS(H82="EL-2201",999,'Raw Sales Data'!H82="EL-2205",1299,'Raw Sales Data'!H82="EL-2210",1099,'Raw Sales Data'!H82="CL-1102",89,'Raw Sales Data'!H82="CL-1108",79,'Raw Sales Data'!H82="CL-1120",95,'Raw Sales Data'!H82="HA-3301",549,'Raw Sales Data'!H82="HA-3305",399,'Raw Sales Data'!H82="HA-3308",129,'Raw Sales Data'!H82="BE-4401",42,'Raw Sales Data'!H82="BE-4402",125,'Raw Sales Data'!H82="BE-4408",58,'Raw Sales Data'!H82="SP-5501",1495,'Raw Sales Data'!H82="SP-5505",299,'Raw Sales Data'!H82="SP-5510",249)</f>
        <v>79</v>
      </c>
      <c r="L82" s="7" t="s">
        <v>295</v>
      </c>
      <c r="M82" s="39">
        <f t="shared" si="1"/>
        <v>158</v>
      </c>
      <c r="N82" s="7" t="s">
        <v>57</v>
      </c>
      <c r="O82" s="7" t="s">
        <v>58</v>
      </c>
      <c r="Q82" s="38"/>
    </row>
    <row r="83" spans="1:17" ht="14.1" customHeight="1" x14ac:dyDescent="0.2">
      <c r="A83" s="9" t="s">
        <v>296</v>
      </c>
      <c r="B83" s="9" t="s">
        <v>295</v>
      </c>
      <c r="C83" s="9" t="s">
        <v>462</v>
      </c>
      <c r="D83" s="9" t="s">
        <v>107</v>
      </c>
      <c r="E83" s="4" t="s">
        <v>363</v>
      </c>
      <c r="F83" s="9" t="s">
        <v>91</v>
      </c>
      <c r="G83" s="9" t="s">
        <v>97</v>
      </c>
      <c r="H83" s="9" t="s">
        <v>79</v>
      </c>
      <c r="I83" s="9">
        <v>1</v>
      </c>
      <c r="J83" s="9" t="s">
        <v>107</v>
      </c>
      <c r="K83" s="38" cm="1">
        <f t="array" ref="K83">_xlfn.IFS(H83="EL-2201",999,'Raw Sales Data'!H83="EL-2205",1299,'Raw Sales Data'!H83="EL-2210",1099,'Raw Sales Data'!H83="CL-1102",89,'Raw Sales Data'!H83="CL-1108",79,'Raw Sales Data'!H83="CL-1120",95,'Raw Sales Data'!H83="HA-3301",549,'Raw Sales Data'!H83="HA-3305",399,'Raw Sales Data'!H83="HA-3308",129,'Raw Sales Data'!H83="BE-4401",42,'Raw Sales Data'!H83="BE-4402",125,'Raw Sales Data'!H83="BE-4408",58,'Raw Sales Data'!H83="SP-5501",1495,'Raw Sales Data'!H83="SP-5505",299,'Raw Sales Data'!H83="SP-5510",249)</f>
        <v>95</v>
      </c>
      <c r="L83" s="9" t="s">
        <v>297</v>
      </c>
      <c r="M83" s="40">
        <f t="shared" si="1"/>
        <v>95</v>
      </c>
      <c r="N83" s="9" t="s">
        <v>64</v>
      </c>
      <c r="O83" s="9" t="s">
        <v>58</v>
      </c>
      <c r="Q83" s="38"/>
    </row>
    <row r="84" spans="1:17" ht="14.1" customHeight="1" x14ac:dyDescent="0.2">
      <c r="A84" s="7" t="s">
        <v>298</v>
      </c>
      <c r="B84" s="7" t="s">
        <v>299</v>
      </c>
      <c r="C84" s="7" t="s">
        <v>463</v>
      </c>
      <c r="D84" s="7" t="s">
        <v>53</v>
      </c>
      <c r="E84" s="8" t="s">
        <v>54</v>
      </c>
      <c r="F84" s="7" t="s">
        <v>91</v>
      </c>
      <c r="G84" s="7" t="s">
        <v>97</v>
      </c>
      <c r="H84" s="7" t="s">
        <v>86</v>
      </c>
      <c r="I84" s="7">
        <v>2</v>
      </c>
      <c r="J84" s="7" t="s">
        <v>53</v>
      </c>
      <c r="K84" s="7" cm="1">
        <f t="array" ref="K84">_xlfn.IFS(H84="EL-2201",999,'Raw Sales Data'!H84="EL-2205",1299,'Raw Sales Data'!H84="EL-2210",1099,'Raw Sales Data'!H84="CL-1102",89,'Raw Sales Data'!H84="CL-1108",79,'Raw Sales Data'!H84="CL-1120",95,'Raw Sales Data'!H84="HA-3301",549,'Raw Sales Data'!H84="HA-3305",399,'Raw Sales Data'!H84="HA-3308",129,'Raw Sales Data'!H84="BE-4401",42,'Raw Sales Data'!H84="BE-4402",125,'Raw Sales Data'!H84="BE-4408",58,'Raw Sales Data'!H84="SP-5501",1495,'Raw Sales Data'!H84="SP-5505",299,'Raw Sales Data'!H84="SP-5510",249)</f>
        <v>549</v>
      </c>
      <c r="L84" s="7" t="s">
        <v>300</v>
      </c>
      <c r="M84" s="39">
        <f t="shared" si="1"/>
        <v>1098</v>
      </c>
      <c r="N84" s="7" t="s">
        <v>70</v>
      </c>
      <c r="O84" s="7" t="s">
        <v>58</v>
      </c>
      <c r="Q84" s="38"/>
    </row>
    <row r="85" spans="1:17" ht="14.1" customHeight="1" x14ac:dyDescent="0.2">
      <c r="A85" s="9" t="s">
        <v>301</v>
      </c>
      <c r="B85" s="9" t="s">
        <v>302</v>
      </c>
      <c r="C85" s="9" t="s">
        <v>463</v>
      </c>
      <c r="D85" s="9" t="s">
        <v>61</v>
      </c>
      <c r="E85" s="4" t="s">
        <v>365</v>
      </c>
      <c r="F85" s="9" t="s">
        <v>108</v>
      </c>
      <c r="G85" s="9" t="s">
        <v>109</v>
      </c>
      <c r="H85" s="9" t="s">
        <v>92</v>
      </c>
      <c r="I85" s="9">
        <v>1</v>
      </c>
      <c r="J85" s="9" t="s">
        <v>61</v>
      </c>
      <c r="K85" s="38" cm="1">
        <f t="array" ref="K85">_xlfn.IFS(H85="EL-2201",999,'Raw Sales Data'!H85="EL-2205",1299,'Raw Sales Data'!H85="EL-2210",1099,'Raw Sales Data'!H85="CL-1102",89,'Raw Sales Data'!H85="CL-1108",79,'Raw Sales Data'!H85="CL-1120",95,'Raw Sales Data'!H85="HA-3301",549,'Raw Sales Data'!H85="HA-3305",399,'Raw Sales Data'!H85="HA-3308",129,'Raw Sales Data'!H85="BE-4401",42,'Raw Sales Data'!H85="BE-4402",125,'Raw Sales Data'!H85="BE-4408",58,'Raw Sales Data'!H85="SP-5501",1495,'Raw Sales Data'!H85="SP-5505",299,'Raw Sales Data'!H85="SP-5510",249)</f>
        <v>399</v>
      </c>
      <c r="L85" s="9" t="s">
        <v>303</v>
      </c>
      <c r="M85" s="40">
        <f t="shared" si="1"/>
        <v>399</v>
      </c>
      <c r="N85" s="9" t="s">
        <v>57</v>
      </c>
      <c r="O85" s="9" t="s">
        <v>58</v>
      </c>
      <c r="Q85" s="38"/>
    </row>
    <row r="86" spans="1:17" ht="14.1" customHeight="1" x14ac:dyDescent="0.2">
      <c r="A86" s="7" t="s">
        <v>304</v>
      </c>
      <c r="B86" s="7" t="s">
        <v>305</v>
      </c>
      <c r="C86" s="7" t="s">
        <v>463</v>
      </c>
      <c r="D86" s="7" t="s">
        <v>67</v>
      </c>
      <c r="E86" s="8" t="s">
        <v>366</v>
      </c>
      <c r="F86" s="7" t="s">
        <v>108</v>
      </c>
      <c r="G86" s="7" t="s">
        <v>109</v>
      </c>
      <c r="H86" s="7" t="s">
        <v>98</v>
      </c>
      <c r="I86" s="7">
        <v>3</v>
      </c>
      <c r="J86" s="7" t="s">
        <v>67</v>
      </c>
      <c r="K86" s="7" cm="1">
        <f t="array" ref="K86">_xlfn.IFS(H86="EL-2201",999,'Raw Sales Data'!H86="EL-2205",1299,'Raw Sales Data'!H86="EL-2210",1099,'Raw Sales Data'!H86="CL-1102",89,'Raw Sales Data'!H86="CL-1108",79,'Raw Sales Data'!H86="CL-1120",95,'Raw Sales Data'!H86="HA-3301",549,'Raw Sales Data'!H86="HA-3305",399,'Raw Sales Data'!H86="HA-3308",129,'Raw Sales Data'!H86="BE-4401",42,'Raw Sales Data'!H86="BE-4402",125,'Raw Sales Data'!H86="BE-4408",58,'Raw Sales Data'!H86="SP-5501",1495,'Raw Sales Data'!H86="SP-5505",299,'Raw Sales Data'!H86="SP-5510",249)</f>
        <v>129</v>
      </c>
      <c r="L86" s="7" t="s">
        <v>306</v>
      </c>
      <c r="M86" s="39">
        <f t="shared" si="1"/>
        <v>387</v>
      </c>
      <c r="N86" s="7" t="s">
        <v>64</v>
      </c>
      <c r="O86" s="7" t="s">
        <v>58</v>
      </c>
      <c r="Q86" s="38"/>
    </row>
    <row r="87" spans="1:17" ht="14.1" customHeight="1" x14ac:dyDescent="0.2">
      <c r="A87" s="9" t="s">
        <v>307</v>
      </c>
      <c r="B87" s="9" t="s">
        <v>306</v>
      </c>
      <c r="C87" s="9" t="s">
        <v>463</v>
      </c>
      <c r="D87" s="9" t="s">
        <v>72</v>
      </c>
      <c r="E87" s="4" t="s">
        <v>367</v>
      </c>
      <c r="F87" s="9" t="s">
        <v>118</v>
      </c>
      <c r="G87" s="9" t="s">
        <v>119</v>
      </c>
      <c r="H87" s="9" t="s">
        <v>104</v>
      </c>
      <c r="I87" s="9">
        <v>1</v>
      </c>
      <c r="J87" s="9" t="s">
        <v>72</v>
      </c>
      <c r="K87" s="38" cm="1">
        <f t="array" ref="K87">_xlfn.IFS(H87="EL-2201",999,'Raw Sales Data'!H87="EL-2205",1299,'Raw Sales Data'!H87="EL-2210",1099,'Raw Sales Data'!H87="CL-1102",89,'Raw Sales Data'!H87="CL-1108",79,'Raw Sales Data'!H87="CL-1120",95,'Raw Sales Data'!H87="HA-3301",549,'Raw Sales Data'!H87="HA-3305",399,'Raw Sales Data'!H87="HA-3308",129,'Raw Sales Data'!H87="BE-4401",42,'Raw Sales Data'!H87="BE-4402",125,'Raw Sales Data'!H87="BE-4408",58,'Raw Sales Data'!H87="SP-5501",1495,'Raw Sales Data'!H87="SP-5505",299,'Raw Sales Data'!H87="SP-5510",249)</f>
        <v>42</v>
      </c>
      <c r="L87" s="9" t="s">
        <v>305</v>
      </c>
      <c r="M87" s="40">
        <f t="shared" si="1"/>
        <v>42</v>
      </c>
      <c r="N87" s="9" t="s">
        <v>70</v>
      </c>
      <c r="O87" s="9" t="s">
        <v>58</v>
      </c>
      <c r="Q87" s="38"/>
    </row>
    <row r="88" spans="1:17" ht="14.1" customHeight="1" x14ac:dyDescent="0.2">
      <c r="A88" s="7" t="s">
        <v>308</v>
      </c>
      <c r="B88" s="7" t="s">
        <v>309</v>
      </c>
      <c r="C88" s="7" t="s">
        <v>463</v>
      </c>
      <c r="D88" s="7" t="s">
        <v>78</v>
      </c>
      <c r="E88" s="8" t="s">
        <v>368</v>
      </c>
      <c r="F88" s="7" t="s">
        <v>118</v>
      </c>
      <c r="G88" s="7" t="s">
        <v>119</v>
      </c>
      <c r="H88" s="7" t="s">
        <v>110</v>
      </c>
      <c r="I88" s="7">
        <v>2</v>
      </c>
      <c r="J88" s="7" t="s">
        <v>78</v>
      </c>
      <c r="K88" s="7" cm="1">
        <f t="array" ref="K88">_xlfn.IFS(H88="EL-2201",999,'Raw Sales Data'!H88="EL-2205",1299,'Raw Sales Data'!H88="EL-2210",1099,'Raw Sales Data'!H88="CL-1102",89,'Raw Sales Data'!H88="CL-1108",79,'Raw Sales Data'!H88="CL-1120",95,'Raw Sales Data'!H88="HA-3301",549,'Raw Sales Data'!H88="HA-3305",399,'Raw Sales Data'!H88="HA-3308",129,'Raw Sales Data'!H88="BE-4401",42,'Raw Sales Data'!H88="BE-4402",125,'Raw Sales Data'!H88="BE-4408",58,'Raw Sales Data'!H88="SP-5501",1495,'Raw Sales Data'!H88="SP-5505",299,'Raw Sales Data'!H88="SP-5510",249)</f>
        <v>125</v>
      </c>
      <c r="L88" s="7" t="s">
        <v>310</v>
      </c>
      <c r="M88" s="39">
        <f t="shared" si="1"/>
        <v>250</v>
      </c>
      <c r="N88" s="7" t="s">
        <v>57</v>
      </c>
      <c r="O88" s="7" t="s">
        <v>58</v>
      </c>
      <c r="Q88" s="38"/>
    </row>
    <row r="89" spans="1:17" ht="14.1" customHeight="1" x14ac:dyDescent="0.2">
      <c r="A89" s="9" t="s">
        <v>311</v>
      </c>
      <c r="B89" s="9" t="s">
        <v>312</v>
      </c>
      <c r="C89" s="9" t="s">
        <v>463</v>
      </c>
      <c r="D89" s="9" t="s">
        <v>83</v>
      </c>
      <c r="E89" s="4" t="s">
        <v>84</v>
      </c>
      <c r="F89" s="9" t="s">
        <v>118</v>
      </c>
      <c r="G89" s="9" t="s">
        <v>119</v>
      </c>
      <c r="H89" s="9" t="s">
        <v>113</v>
      </c>
      <c r="I89" s="9">
        <v>1</v>
      </c>
      <c r="J89" s="9" t="s">
        <v>83</v>
      </c>
      <c r="K89" s="38" cm="1">
        <f t="array" ref="K89">_xlfn.IFS(H89="EL-2201",999,'Raw Sales Data'!H89="EL-2205",1299,'Raw Sales Data'!H89="EL-2210",1099,'Raw Sales Data'!H89="CL-1102",89,'Raw Sales Data'!H89="CL-1108",79,'Raw Sales Data'!H89="CL-1120",95,'Raw Sales Data'!H89="HA-3301",549,'Raw Sales Data'!H89="HA-3305",399,'Raw Sales Data'!H89="HA-3308",129,'Raw Sales Data'!H89="BE-4401",42,'Raw Sales Data'!H89="BE-4402",125,'Raw Sales Data'!H89="BE-4408",58,'Raw Sales Data'!H89="SP-5501",1495,'Raw Sales Data'!H89="SP-5505",299,'Raw Sales Data'!H89="SP-5510",249)</f>
        <v>58</v>
      </c>
      <c r="L89" s="9" t="s">
        <v>313</v>
      </c>
      <c r="M89" s="40">
        <f t="shared" si="1"/>
        <v>58</v>
      </c>
      <c r="N89" s="9" t="s">
        <v>64</v>
      </c>
      <c r="O89" s="9" t="s">
        <v>58</v>
      </c>
      <c r="Q89" s="38"/>
    </row>
    <row r="90" spans="1:17" ht="14.1" customHeight="1" x14ac:dyDescent="0.2">
      <c r="A90" s="7" t="s">
        <v>314</v>
      </c>
      <c r="B90" s="7" t="s">
        <v>313</v>
      </c>
      <c r="C90" s="7" t="s">
        <v>463</v>
      </c>
      <c r="D90" s="7" t="s">
        <v>89</v>
      </c>
      <c r="E90" s="8" t="s">
        <v>90</v>
      </c>
      <c r="F90" s="7" t="s">
        <v>118</v>
      </c>
      <c r="G90" s="7" t="s">
        <v>119</v>
      </c>
      <c r="H90" s="7" t="s">
        <v>120</v>
      </c>
      <c r="I90" s="7" t="s">
        <v>436</v>
      </c>
      <c r="J90" s="7" t="s">
        <v>89</v>
      </c>
      <c r="K90" s="7" cm="1">
        <f t="array" ref="K90">_xlfn.IFS(H90="EL-2201",999,'Raw Sales Data'!H90="EL-2205",1299,'Raw Sales Data'!H90="EL-2210",1099,'Raw Sales Data'!H90="CL-1102",89,'Raw Sales Data'!H90="CL-1108",79,'Raw Sales Data'!H90="CL-1120",95,'Raw Sales Data'!H90="HA-3301",549,'Raw Sales Data'!H90="HA-3305",399,'Raw Sales Data'!H90="HA-3308",129,'Raw Sales Data'!H90="BE-4401",42,'Raw Sales Data'!H90="BE-4402",125,'Raw Sales Data'!H90="BE-4408",58,'Raw Sales Data'!H90="SP-5501",1495,'Raw Sales Data'!H90="SP-5505",299,'Raw Sales Data'!H90="SP-5510",249)</f>
        <v>1495</v>
      </c>
      <c r="L90" s="7" t="s">
        <v>315</v>
      </c>
      <c r="M90" s="39">
        <f t="shared" si="1"/>
        <v>1495</v>
      </c>
      <c r="N90" s="7" t="s">
        <v>70</v>
      </c>
      <c r="O90" s="7" t="s">
        <v>58</v>
      </c>
      <c r="Q90" s="38"/>
    </row>
    <row r="91" spans="1:17" ht="14.1" customHeight="1" x14ac:dyDescent="0.2">
      <c r="A91" s="9" t="s">
        <v>316</v>
      </c>
      <c r="B91" s="9" t="s">
        <v>317</v>
      </c>
      <c r="C91" s="9" t="s">
        <v>463</v>
      </c>
      <c r="D91" s="9" t="s">
        <v>96</v>
      </c>
      <c r="E91" s="4" t="s">
        <v>369</v>
      </c>
      <c r="F91" s="9" t="s">
        <v>73</v>
      </c>
      <c r="G91" s="9" t="s">
        <v>74</v>
      </c>
      <c r="H91" s="9" t="s">
        <v>124</v>
      </c>
      <c r="I91" s="9">
        <v>1</v>
      </c>
      <c r="J91" s="9" t="s">
        <v>96</v>
      </c>
      <c r="K91" s="38" cm="1">
        <f t="array" ref="K91">_xlfn.IFS(H91="EL-2201",999,'Raw Sales Data'!H91="EL-2205",1299,'Raw Sales Data'!H91="EL-2210",1099,'Raw Sales Data'!H91="CL-1102",89,'Raw Sales Data'!H91="CL-1108",79,'Raw Sales Data'!H91="CL-1120",95,'Raw Sales Data'!H91="HA-3301",549,'Raw Sales Data'!H91="HA-3305",399,'Raw Sales Data'!H91="HA-3308",129,'Raw Sales Data'!H91="BE-4401",42,'Raw Sales Data'!H91="BE-4402",125,'Raw Sales Data'!H91="BE-4408",58,'Raw Sales Data'!H91="SP-5501",1495,'Raw Sales Data'!H91="SP-5505",299,'Raw Sales Data'!H91="SP-5510",249)</f>
        <v>299</v>
      </c>
      <c r="L91" s="9" t="s">
        <v>318</v>
      </c>
      <c r="M91" s="40">
        <f t="shared" si="1"/>
        <v>299</v>
      </c>
      <c r="N91" s="9" t="s">
        <v>57</v>
      </c>
      <c r="O91" s="9" t="s">
        <v>115</v>
      </c>
      <c r="Q91" s="38"/>
    </row>
    <row r="92" spans="1:17" ht="14.1" customHeight="1" x14ac:dyDescent="0.2">
      <c r="A92" s="7" t="s">
        <v>319</v>
      </c>
      <c r="B92" s="7" t="s">
        <v>320</v>
      </c>
      <c r="C92" s="7" t="s">
        <v>464</v>
      </c>
      <c r="D92" s="7" t="s">
        <v>102</v>
      </c>
      <c r="E92" s="8" t="s">
        <v>103</v>
      </c>
      <c r="F92" s="7" t="s">
        <v>73</v>
      </c>
      <c r="G92" s="7" t="s">
        <v>74</v>
      </c>
      <c r="H92" s="7" t="s">
        <v>127</v>
      </c>
      <c r="I92" s="7">
        <v>2</v>
      </c>
      <c r="J92" s="7" t="s">
        <v>102</v>
      </c>
      <c r="K92" s="7" cm="1">
        <f t="array" ref="K92">_xlfn.IFS(H92="EL-2201",999,'Raw Sales Data'!H92="EL-2205",1299,'Raw Sales Data'!H92="EL-2210",1099,'Raw Sales Data'!H92="CL-1102",89,'Raw Sales Data'!H92="CL-1108",79,'Raw Sales Data'!H92="CL-1120",95,'Raw Sales Data'!H92="HA-3301",549,'Raw Sales Data'!H92="HA-3305",399,'Raw Sales Data'!H92="HA-3308",129,'Raw Sales Data'!H92="BE-4401",42,'Raw Sales Data'!H92="BE-4402",125,'Raw Sales Data'!H92="BE-4408",58,'Raw Sales Data'!H92="SP-5501",1495,'Raw Sales Data'!H92="SP-5505",299,'Raw Sales Data'!H92="SP-5510",249)</f>
        <v>249</v>
      </c>
      <c r="L92" s="7" t="s">
        <v>321</v>
      </c>
      <c r="M92" s="39">
        <f t="shared" si="1"/>
        <v>498</v>
      </c>
      <c r="N92" s="7" t="s">
        <v>64</v>
      </c>
      <c r="O92" s="7" t="s">
        <v>58</v>
      </c>
      <c r="Q92" s="38"/>
    </row>
    <row r="93" spans="1:17" ht="14.1" customHeight="1" x14ac:dyDescent="0.2">
      <c r="A93" s="9" t="s">
        <v>322</v>
      </c>
      <c r="B93" s="9" t="s">
        <v>321</v>
      </c>
      <c r="C93" s="9" t="s">
        <v>464</v>
      </c>
      <c r="D93" s="9" t="s">
        <v>107</v>
      </c>
      <c r="E93" s="4" t="s">
        <v>363</v>
      </c>
      <c r="F93" s="9" t="s">
        <v>73</v>
      </c>
      <c r="G93" s="9" t="s">
        <v>85</v>
      </c>
      <c r="H93" s="9" t="s">
        <v>130</v>
      </c>
      <c r="I93" s="9">
        <v>1</v>
      </c>
      <c r="J93" s="9" t="s">
        <v>107</v>
      </c>
      <c r="K93" s="38" cm="1">
        <f t="array" ref="K93">_xlfn.IFS(H93="EL-2201",999,'Raw Sales Data'!H93="EL-2205",1299,'Raw Sales Data'!H93="EL-2210",1099,'Raw Sales Data'!H93="CL-1102",89,'Raw Sales Data'!H93="CL-1108",79,'Raw Sales Data'!H93="CL-1120",95,'Raw Sales Data'!H93="HA-3301",549,'Raw Sales Data'!H93="HA-3305",399,'Raw Sales Data'!H93="HA-3308",129,'Raw Sales Data'!H93="BE-4401",42,'Raw Sales Data'!H93="BE-4402",125,'Raw Sales Data'!H93="BE-4408",58,'Raw Sales Data'!H93="SP-5501",1495,'Raw Sales Data'!H93="SP-5505",299,'Raw Sales Data'!H93="SP-5510",249)</f>
        <v>999</v>
      </c>
      <c r="L93" s="9" t="s">
        <v>323</v>
      </c>
      <c r="M93" s="40">
        <f t="shared" si="1"/>
        <v>999</v>
      </c>
      <c r="N93" s="9" t="s">
        <v>70</v>
      </c>
      <c r="O93" s="9" t="s">
        <v>58</v>
      </c>
      <c r="Q93" s="38"/>
    </row>
    <row r="94" spans="1:17" ht="14.1" customHeight="1" x14ac:dyDescent="0.2">
      <c r="A94" s="7" t="s">
        <v>324</v>
      </c>
      <c r="B94" s="7" t="s">
        <v>323</v>
      </c>
      <c r="C94" s="7" t="s">
        <v>464</v>
      </c>
      <c r="D94" s="7" t="s">
        <v>53</v>
      </c>
      <c r="E94" s="8" t="s">
        <v>54</v>
      </c>
      <c r="F94" s="7" t="s">
        <v>91</v>
      </c>
      <c r="G94" s="7" t="s">
        <v>85</v>
      </c>
      <c r="H94" s="7" t="s">
        <v>55</v>
      </c>
      <c r="I94" s="7">
        <v>2</v>
      </c>
      <c r="J94" s="7" t="s">
        <v>53</v>
      </c>
      <c r="K94" s="7" cm="1">
        <f t="array" ref="K94">_xlfn.IFS(H94="EL-2201",999,'Raw Sales Data'!H94="EL-2205",1299,'Raw Sales Data'!H94="EL-2210",1099,'Raw Sales Data'!H94="CL-1102",89,'Raw Sales Data'!H94="CL-1108",79,'Raw Sales Data'!H94="CL-1120",95,'Raw Sales Data'!H94="HA-3301",549,'Raw Sales Data'!H94="HA-3305",399,'Raw Sales Data'!H94="HA-3308",129,'Raw Sales Data'!H94="BE-4401",42,'Raw Sales Data'!H94="BE-4402",125,'Raw Sales Data'!H94="BE-4408",58,'Raw Sales Data'!H94="SP-5501",1495,'Raw Sales Data'!H94="SP-5505",299,'Raw Sales Data'!H94="SP-5510",249)</f>
        <v>1299</v>
      </c>
      <c r="L94" s="7" t="s">
        <v>325</v>
      </c>
      <c r="M94" s="39">
        <f t="shared" si="1"/>
        <v>2598</v>
      </c>
      <c r="N94" s="7" t="s">
        <v>57</v>
      </c>
      <c r="O94" s="7" t="s">
        <v>58</v>
      </c>
      <c r="Q94" s="38"/>
    </row>
    <row r="95" spans="1:17" ht="14.1" customHeight="1" x14ac:dyDescent="0.2">
      <c r="A95" s="9" t="s">
        <v>326</v>
      </c>
      <c r="B95" s="9" t="s">
        <v>327</v>
      </c>
      <c r="C95" s="9" t="s">
        <v>464</v>
      </c>
      <c r="D95" s="9" t="s">
        <v>61</v>
      </c>
      <c r="E95" s="4" t="s">
        <v>365</v>
      </c>
      <c r="F95" s="9" t="s">
        <v>91</v>
      </c>
      <c r="G95" s="9" t="s">
        <v>97</v>
      </c>
      <c r="H95" s="9" t="s">
        <v>62</v>
      </c>
      <c r="I95" s="9">
        <v>1</v>
      </c>
      <c r="J95" s="9" t="s">
        <v>61</v>
      </c>
      <c r="K95" s="38" cm="1">
        <f t="array" ref="K95">_xlfn.IFS(H95="EL-2201",999,'Raw Sales Data'!H95="EL-2205",1299,'Raw Sales Data'!H95="EL-2210",1099,'Raw Sales Data'!H95="CL-1102",89,'Raw Sales Data'!H95="CL-1108",79,'Raw Sales Data'!H95="CL-1120",95,'Raw Sales Data'!H95="HA-3301",549,'Raw Sales Data'!H95="HA-3305",399,'Raw Sales Data'!H95="HA-3308",129,'Raw Sales Data'!H95="BE-4401",42,'Raw Sales Data'!H95="BE-4402",125,'Raw Sales Data'!H95="BE-4408",58,'Raw Sales Data'!H95="SP-5501",1495,'Raw Sales Data'!H95="SP-5505",299,'Raw Sales Data'!H95="SP-5510",249)</f>
        <v>1099</v>
      </c>
      <c r="L95" s="9" t="s">
        <v>328</v>
      </c>
      <c r="M95" s="40">
        <f t="shared" si="1"/>
        <v>1099</v>
      </c>
      <c r="N95" s="9" t="s">
        <v>64</v>
      </c>
      <c r="O95" s="9" t="s">
        <v>58</v>
      </c>
      <c r="Q95" s="38"/>
    </row>
    <row r="96" spans="1:17" ht="14.1" customHeight="1" x14ac:dyDescent="0.2">
      <c r="A96" s="7" t="s">
        <v>329</v>
      </c>
      <c r="B96" s="7" t="s">
        <v>330</v>
      </c>
      <c r="C96" s="7" t="s">
        <v>464</v>
      </c>
      <c r="D96" s="7" t="s">
        <v>67</v>
      </c>
      <c r="E96" s="8" t="s">
        <v>366</v>
      </c>
      <c r="F96" s="7" t="s">
        <v>91</v>
      </c>
      <c r="G96" s="7" t="s">
        <v>97</v>
      </c>
      <c r="H96" s="7" t="s">
        <v>68</v>
      </c>
      <c r="I96" s="7">
        <v>3</v>
      </c>
      <c r="J96" s="7" t="s">
        <v>67</v>
      </c>
      <c r="K96" s="7" cm="1">
        <f t="array" ref="K96">_xlfn.IFS(H96="EL-2201",999,'Raw Sales Data'!H96="EL-2205",1299,'Raw Sales Data'!H96="EL-2210",1099,'Raw Sales Data'!H96="CL-1102",89,'Raw Sales Data'!H96="CL-1108",79,'Raw Sales Data'!H96="CL-1120",95,'Raw Sales Data'!H96="HA-3301",549,'Raw Sales Data'!H96="HA-3305",399,'Raw Sales Data'!H96="HA-3308",129,'Raw Sales Data'!H96="BE-4401",42,'Raw Sales Data'!H96="BE-4402",125,'Raw Sales Data'!H96="BE-4408",58,'Raw Sales Data'!H96="SP-5501",1495,'Raw Sales Data'!H96="SP-5505",299,'Raw Sales Data'!H96="SP-5510",249)</f>
        <v>89</v>
      </c>
      <c r="L96" s="7" t="s">
        <v>331</v>
      </c>
      <c r="M96" s="39">
        <f t="shared" si="1"/>
        <v>267</v>
      </c>
      <c r="N96" s="7" t="s">
        <v>70</v>
      </c>
      <c r="O96" s="7" t="s">
        <v>58</v>
      </c>
      <c r="Q96" s="38"/>
    </row>
    <row r="97" spans="1:17" ht="14.1" customHeight="1" x14ac:dyDescent="0.2">
      <c r="A97" s="9" t="s">
        <v>332</v>
      </c>
      <c r="B97" s="9" t="s">
        <v>331</v>
      </c>
      <c r="C97" s="9" t="s">
        <v>464</v>
      </c>
      <c r="D97" s="9" t="s">
        <v>72</v>
      </c>
      <c r="E97" s="4" t="s">
        <v>367</v>
      </c>
      <c r="F97" s="9" t="s">
        <v>108</v>
      </c>
      <c r="G97" s="9" t="s">
        <v>109</v>
      </c>
      <c r="H97" s="9" t="s">
        <v>75</v>
      </c>
      <c r="I97" s="9">
        <v>1</v>
      </c>
      <c r="J97" s="9" t="s">
        <v>72</v>
      </c>
      <c r="K97" s="38" cm="1">
        <f t="array" ref="K97">_xlfn.IFS(H97="EL-2201",999,'Raw Sales Data'!H97="EL-2205",1299,'Raw Sales Data'!H97="EL-2210",1099,'Raw Sales Data'!H97="CL-1102",89,'Raw Sales Data'!H97="CL-1108",79,'Raw Sales Data'!H97="CL-1120",95,'Raw Sales Data'!H97="HA-3301",549,'Raw Sales Data'!H97="HA-3305",399,'Raw Sales Data'!H97="HA-3308",129,'Raw Sales Data'!H97="BE-4401",42,'Raw Sales Data'!H97="BE-4402",125,'Raw Sales Data'!H97="BE-4408",58,'Raw Sales Data'!H97="SP-5501",1495,'Raw Sales Data'!H97="SP-5505",299,'Raw Sales Data'!H97="SP-5510",249)</f>
        <v>79</v>
      </c>
      <c r="L97" s="9" t="s">
        <v>330</v>
      </c>
      <c r="M97" s="40">
        <f t="shared" si="1"/>
        <v>79</v>
      </c>
      <c r="N97" s="9" t="s">
        <v>57</v>
      </c>
      <c r="O97" s="9" t="s">
        <v>58</v>
      </c>
      <c r="Q97" s="38"/>
    </row>
    <row r="98" spans="1:17" ht="14.1" customHeight="1" x14ac:dyDescent="0.2">
      <c r="A98" s="7" t="s">
        <v>333</v>
      </c>
      <c r="B98" s="7" t="s">
        <v>334</v>
      </c>
      <c r="C98" s="7" t="s">
        <v>464</v>
      </c>
      <c r="D98" s="7" t="s">
        <v>78</v>
      </c>
      <c r="E98" s="8" t="s">
        <v>368</v>
      </c>
      <c r="F98" s="7" t="s">
        <v>108</v>
      </c>
      <c r="G98" s="7" t="s">
        <v>109</v>
      </c>
      <c r="H98" s="7" t="s">
        <v>79</v>
      </c>
      <c r="I98" s="7">
        <v>2</v>
      </c>
      <c r="J98" s="7" t="s">
        <v>78</v>
      </c>
      <c r="K98" s="7" cm="1">
        <f t="array" ref="K98">_xlfn.IFS(H98="EL-2201",999,'Raw Sales Data'!H98="EL-2205",1299,'Raw Sales Data'!H98="EL-2210",1099,'Raw Sales Data'!H98="CL-1102",89,'Raw Sales Data'!H98="CL-1108",79,'Raw Sales Data'!H98="CL-1120",95,'Raw Sales Data'!H98="HA-3301",549,'Raw Sales Data'!H98="HA-3305",399,'Raw Sales Data'!H98="HA-3308",129,'Raw Sales Data'!H98="BE-4401",42,'Raw Sales Data'!H98="BE-4402",125,'Raw Sales Data'!H98="BE-4408",58,'Raw Sales Data'!H98="SP-5501",1495,'Raw Sales Data'!H98="SP-5505",299,'Raw Sales Data'!H98="SP-5510",249)</f>
        <v>95</v>
      </c>
      <c r="L98" s="7" t="s">
        <v>335</v>
      </c>
      <c r="M98" s="39">
        <f t="shared" si="1"/>
        <v>190</v>
      </c>
      <c r="N98" s="7" t="s">
        <v>64</v>
      </c>
      <c r="O98" s="7" t="s">
        <v>58</v>
      </c>
      <c r="Q98" s="38"/>
    </row>
    <row r="99" spans="1:17" ht="14.1" customHeight="1" x14ac:dyDescent="0.2">
      <c r="A99" s="9" t="s">
        <v>336</v>
      </c>
      <c r="B99" s="9" t="s">
        <v>337</v>
      </c>
      <c r="C99" s="9" t="s">
        <v>464</v>
      </c>
      <c r="D99" s="9" t="s">
        <v>83</v>
      </c>
      <c r="E99" s="4" t="s">
        <v>84</v>
      </c>
      <c r="F99" s="9" t="s">
        <v>118</v>
      </c>
      <c r="G99" s="9" t="s">
        <v>119</v>
      </c>
      <c r="H99" s="9" t="s">
        <v>86</v>
      </c>
      <c r="I99" s="9">
        <v>1</v>
      </c>
      <c r="J99" s="9" t="s">
        <v>83</v>
      </c>
      <c r="K99" s="38" cm="1">
        <f t="array" ref="K99">_xlfn.IFS(H99="EL-2201",999,'Raw Sales Data'!H99="EL-2205",1299,'Raw Sales Data'!H99="EL-2210",1099,'Raw Sales Data'!H99="CL-1102",89,'Raw Sales Data'!H99="CL-1108",79,'Raw Sales Data'!H99="CL-1120",95,'Raw Sales Data'!H99="HA-3301",549,'Raw Sales Data'!H99="HA-3305",399,'Raw Sales Data'!H99="HA-3308",129,'Raw Sales Data'!H99="BE-4401",42,'Raw Sales Data'!H99="BE-4402",125,'Raw Sales Data'!H99="BE-4408",58,'Raw Sales Data'!H99="SP-5501",1495,'Raw Sales Data'!H99="SP-5505",299,'Raw Sales Data'!H99="SP-5510",249)</f>
        <v>549</v>
      </c>
      <c r="L99" s="9" t="s">
        <v>338</v>
      </c>
      <c r="M99" s="40">
        <f t="shared" si="1"/>
        <v>549</v>
      </c>
      <c r="N99" s="9" t="s">
        <v>70</v>
      </c>
      <c r="O99" s="9" t="s">
        <v>58</v>
      </c>
      <c r="Q99" s="38"/>
    </row>
    <row r="100" spans="1:17" ht="14.1" customHeight="1" x14ac:dyDescent="0.2">
      <c r="M100" s="9"/>
    </row>
    <row r="101" spans="1:17" ht="14.1" customHeight="1" x14ac:dyDescent="0.2">
      <c r="M101" s="9"/>
    </row>
    <row r="102" spans="1:17" ht="14.1" customHeight="1" x14ac:dyDescent="0.2">
      <c r="M102" s="9"/>
    </row>
  </sheetData>
  <mergeCells count="2">
    <mergeCell ref="A1:O1"/>
    <mergeCell ref="A2:O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selection activeCell="C16" sqref="C16"/>
    </sheetView>
  </sheetViews>
  <sheetFormatPr defaultRowHeight="15" x14ac:dyDescent="0.2"/>
  <cols>
    <col min="1" max="1" width="13.046875" customWidth="1"/>
    <col min="2" max="2" width="20.04296875" customWidth="1"/>
    <col min="3" max="3" width="16.0078125" customWidth="1"/>
    <col min="4" max="4" width="13.98828125" customWidth="1"/>
  </cols>
  <sheetData>
    <row r="1" spans="1:4" ht="26.1" customHeight="1" x14ac:dyDescent="0.2">
      <c r="A1" s="66" t="s">
        <v>339</v>
      </c>
      <c r="B1" s="60"/>
      <c r="C1" s="60"/>
      <c r="D1" s="60"/>
    </row>
    <row r="3" spans="1:4" ht="18" customHeight="1" x14ac:dyDescent="0.2">
      <c r="A3" s="2" t="s">
        <v>45</v>
      </c>
      <c r="B3" s="2" t="s">
        <v>340</v>
      </c>
      <c r="C3" s="2" t="s">
        <v>341</v>
      </c>
      <c r="D3" s="2" t="s">
        <v>342</v>
      </c>
    </row>
    <row r="4" spans="1:4" ht="15.95" customHeight="1" x14ac:dyDescent="0.2">
      <c r="A4" s="7" t="s">
        <v>130</v>
      </c>
      <c r="B4" s="8" t="s">
        <v>343</v>
      </c>
      <c r="C4" s="7" t="s">
        <v>119</v>
      </c>
      <c r="D4" s="7">
        <v>999</v>
      </c>
    </row>
    <row r="5" spans="1:4" ht="15.95" customHeight="1" x14ac:dyDescent="0.2">
      <c r="A5" s="9" t="s">
        <v>55</v>
      </c>
      <c r="B5" s="4" t="s">
        <v>344</v>
      </c>
      <c r="C5" s="9" t="s">
        <v>119</v>
      </c>
      <c r="D5" s="9">
        <v>1299</v>
      </c>
    </row>
    <row r="6" spans="1:4" ht="15.95" customHeight="1" x14ac:dyDescent="0.2">
      <c r="A6" s="7" t="s">
        <v>62</v>
      </c>
      <c r="B6" s="8" t="s">
        <v>345</v>
      </c>
      <c r="C6" s="7" t="s">
        <v>119</v>
      </c>
      <c r="D6" s="7">
        <v>1099</v>
      </c>
    </row>
    <row r="7" spans="1:4" ht="15.95" customHeight="1" x14ac:dyDescent="0.2">
      <c r="A7" s="9" t="s">
        <v>68</v>
      </c>
      <c r="B7" s="4" t="s">
        <v>346</v>
      </c>
      <c r="C7" s="9" t="s">
        <v>74</v>
      </c>
      <c r="D7" s="9">
        <v>89</v>
      </c>
    </row>
    <row r="8" spans="1:4" ht="15.95" customHeight="1" x14ac:dyDescent="0.2">
      <c r="A8" s="7" t="s">
        <v>75</v>
      </c>
      <c r="B8" s="8" t="s">
        <v>347</v>
      </c>
      <c r="C8" s="7" t="s">
        <v>74</v>
      </c>
      <c r="D8" s="7">
        <v>79</v>
      </c>
    </row>
    <row r="9" spans="1:4" ht="15.95" customHeight="1" x14ac:dyDescent="0.2">
      <c r="A9" s="9" t="s">
        <v>79</v>
      </c>
      <c r="B9" s="4" t="s">
        <v>348</v>
      </c>
      <c r="C9" s="9" t="s">
        <v>74</v>
      </c>
      <c r="D9" s="9">
        <v>95</v>
      </c>
    </row>
    <row r="10" spans="1:4" ht="15.95" customHeight="1" x14ac:dyDescent="0.2">
      <c r="A10" s="7" t="s">
        <v>86</v>
      </c>
      <c r="B10" s="8" t="s">
        <v>349</v>
      </c>
      <c r="C10" s="7" t="s">
        <v>85</v>
      </c>
      <c r="D10" s="7">
        <v>549</v>
      </c>
    </row>
    <row r="11" spans="1:4" ht="15.95" customHeight="1" x14ac:dyDescent="0.2">
      <c r="A11" s="9" t="s">
        <v>92</v>
      </c>
      <c r="B11" s="4" t="s">
        <v>350</v>
      </c>
      <c r="C11" s="9" t="s">
        <v>85</v>
      </c>
      <c r="D11" s="9">
        <v>399</v>
      </c>
    </row>
    <row r="12" spans="1:4" ht="15.95" customHeight="1" x14ac:dyDescent="0.2">
      <c r="A12" s="7" t="s">
        <v>98</v>
      </c>
      <c r="B12" s="8" t="s">
        <v>351</v>
      </c>
      <c r="C12" s="7" t="s">
        <v>85</v>
      </c>
      <c r="D12" s="7">
        <v>129</v>
      </c>
    </row>
    <row r="13" spans="1:4" ht="15.95" customHeight="1" x14ac:dyDescent="0.2">
      <c r="A13" s="9" t="s">
        <v>104</v>
      </c>
      <c r="B13" s="4" t="s">
        <v>352</v>
      </c>
      <c r="C13" s="9" t="s">
        <v>97</v>
      </c>
      <c r="D13" s="9">
        <v>42</v>
      </c>
    </row>
    <row r="14" spans="1:4" ht="15.95" customHeight="1" x14ac:dyDescent="0.2">
      <c r="A14" s="7" t="s">
        <v>110</v>
      </c>
      <c r="B14" s="8" t="s">
        <v>353</v>
      </c>
      <c r="C14" s="7" t="s">
        <v>97</v>
      </c>
      <c r="D14" s="7">
        <v>125</v>
      </c>
    </row>
    <row r="15" spans="1:4" ht="15.95" customHeight="1" x14ac:dyDescent="0.2">
      <c r="A15" s="9" t="s">
        <v>113</v>
      </c>
      <c r="B15" s="4" t="s">
        <v>354</v>
      </c>
      <c r="C15" s="9" t="s">
        <v>97</v>
      </c>
      <c r="D15" s="9">
        <v>58</v>
      </c>
    </row>
    <row r="16" spans="1:4" ht="15.95" customHeight="1" x14ac:dyDescent="0.2">
      <c r="A16" s="7" t="s">
        <v>120</v>
      </c>
      <c r="B16" s="8" t="s">
        <v>355</v>
      </c>
      <c r="C16" s="7" t="s">
        <v>109</v>
      </c>
      <c r="D16" s="7">
        <v>1495</v>
      </c>
    </row>
    <row r="17" spans="1:4" ht="15.95" customHeight="1" x14ac:dyDescent="0.2">
      <c r="A17" s="9" t="s">
        <v>124</v>
      </c>
      <c r="B17" s="4" t="s">
        <v>356</v>
      </c>
      <c r="C17" s="9" t="s">
        <v>109</v>
      </c>
      <c r="D17" s="9">
        <v>299</v>
      </c>
    </row>
    <row r="18" spans="1:4" ht="15.95" customHeight="1" x14ac:dyDescent="0.2">
      <c r="A18" s="7" t="s">
        <v>127</v>
      </c>
      <c r="B18" s="8" t="s">
        <v>357</v>
      </c>
      <c r="C18" s="7" t="s">
        <v>109</v>
      </c>
      <c r="D18" s="7">
        <v>249</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selection sqref="A1:D1"/>
    </sheetView>
  </sheetViews>
  <sheetFormatPr defaultRowHeight="15" x14ac:dyDescent="0.2"/>
  <cols>
    <col min="1" max="1" width="13.046875" customWidth="1"/>
    <col min="2" max="2" width="18.0234375" customWidth="1"/>
    <col min="3" max="3" width="13.98828125" customWidth="1"/>
    <col min="4" max="4" width="18.0234375" customWidth="1"/>
  </cols>
  <sheetData>
    <row r="1" spans="1:4" ht="26.1" customHeight="1" x14ac:dyDescent="0.2">
      <c r="A1" s="66" t="s">
        <v>358</v>
      </c>
      <c r="B1" s="60"/>
      <c r="C1" s="60"/>
      <c r="D1" s="60"/>
    </row>
    <row r="3" spans="1:4" ht="18" customHeight="1" x14ac:dyDescent="0.2">
      <c r="A3" s="2" t="s">
        <v>359</v>
      </c>
      <c r="B3" s="2" t="s">
        <v>360</v>
      </c>
      <c r="C3" s="2" t="s">
        <v>361</v>
      </c>
      <c r="D3" s="2" t="s">
        <v>362</v>
      </c>
    </row>
    <row r="4" spans="1:4" ht="15.95" customHeight="1" x14ac:dyDescent="0.2">
      <c r="A4" s="7" t="s">
        <v>107</v>
      </c>
      <c r="B4" s="8" t="s">
        <v>363</v>
      </c>
      <c r="C4" s="7" t="s">
        <v>364</v>
      </c>
      <c r="D4" s="7">
        <v>5</v>
      </c>
    </row>
    <row r="5" spans="1:4" ht="15.95" customHeight="1" x14ac:dyDescent="0.2">
      <c r="A5" s="9" t="s">
        <v>53</v>
      </c>
      <c r="B5" s="4" t="s">
        <v>54</v>
      </c>
      <c r="C5" s="9" t="s">
        <v>364</v>
      </c>
      <c r="D5" s="9">
        <v>3</v>
      </c>
    </row>
    <row r="6" spans="1:4" ht="15.95" customHeight="1" x14ac:dyDescent="0.2">
      <c r="A6" s="7" t="s">
        <v>61</v>
      </c>
      <c r="B6" s="8" t="s">
        <v>365</v>
      </c>
      <c r="C6" s="7" t="s">
        <v>364</v>
      </c>
      <c r="D6" s="7">
        <v>7</v>
      </c>
    </row>
    <row r="7" spans="1:4" ht="15.95" customHeight="1" x14ac:dyDescent="0.2">
      <c r="A7" s="9" t="s">
        <v>67</v>
      </c>
      <c r="B7" s="4" t="s">
        <v>366</v>
      </c>
      <c r="C7" s="9" t="s">
        <v>364</v>
      </c>
      <c r="D7" s="9">
        <v>2</v>
      </c>
    </row>
    <row r="8" spans="1:4" ht="15.95" customHeight="1" x14ac:dyDescent="0.2">
      <c r="A8" s="7" t="s">
        <v>72</v>
      </c>
      <c r="B8" s="8" t="s">
        <v>367</v>
      </c>
      <c r="C8" s="7" t="s">
        <v>364</v>
      </c>
      <c r="D8" s="7">
        <v>9</v>
      </c>
    </row>
    <row r="9" spans="1:4" ht="15.95" customHeight="1" x14ac:dyDescent="0.2">
      <c r="A9" s="9" t="s">
        <v>78</v>
      </c>
      <c r="B9" s="4" t="s">
        <v>368</v>
      </c>
      <c r="C9" s="9" t="s">
        <v>364</v>
      </c>
      <c r="D9" s="9">
        <v>4</v>
      </c>
    </row>
    <row r="10" spans="1:4" ht="15.95" customHeight="1" x14ac:dyDescent="0.2">
      <c r="A10" s="7" t="s">
        <v>83</v>
      </c>
      <c r="B10" s="8" t="s">
        <v>84</v>
      </c>
      <c r="C10" s="7" t="s">
        <v>364</v>
      </c>
      <c r="D10" s="7">
        <v>6</v>
      </c>
    </row>
    <row r="11" spans="1:4" ht="15.95" customHeight="1" x14ac:dyDescent="0.2">
      <c r="A11" s="9" t="s">
        <v>89</v>
      </c>
      <c r="B11" s="4" t="s">
        <v>90</v>
      </c>
      <c r="C11" s="9" t="s">
        <v>364</v>
      </c>
      <c r="D11" s="9">
        <v>3</v>
      </c>
    </row>
    <row r="12" spans="1:4" ht="15.95" customHeight="1" x14ac:dyDescent="0.2">
      <c r="A12" s="7" t="s">
        <v>96</v>
      </c>
      <c r="B12" s="8" t="s">
        <v>369</v>
      </c>
      <c r="C12" s="7" t="s">
        <v>364</v>
      </c>
      <c r="D12" s="7">
        <v>4</v>
      </c>
    </row>
    <row r="13" spans="1:4" ht="15.95" customHeight="1" x14ac:dyDescent="0.2">
      <c r="A13" s="9" t="s">
        <v>102</v>
      </c>
      <c r="B13" s="4" t="s">
        <v>103</v>
      </c>
      <c r="C13" s="9" t="s">
        <v>364</v>
      </c>
      <c r="D13" s="9">
        <v>8</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tabSelected="1" topLeftCell="A5" zoomScale="115" zoomScaleNormal="115" workbookViewId="0">
      <selection activeCell="C8" sqref="C8"/>
    </sheetView>
  </sheetViews>
  <sheetFormatPr defaultRowHeight="15" x14ac:dyDescent="0.2"/>
  <cols>
    <col min="1" max="1" width="11.97265625" customWidth="1"/>
    <col min="2" max="2" width="25.9609375" customWidth="1"/>
    <col min="3" max="3" width="34.03125" customWidth="1"/>
    <col min="4" max="4" width="39.953125" customWidth="1"/>
  </cols>
  <sheetData>
    <row r="1" spans="1:6" ht="26.1" customHeight="1" x14ac:dyDescent="0.2">
      <c r="A1" s="66" t="s">
        <v>370</v>
      </c>
      <c r="B1" s="60"/>
      <c r="C1" s="60"/>
      <c r="D1" s="60"/>
      <c r="E1" s="60"/>
      <c r="F1" s="60"/>
    </row>
    <row r="2" spans="1:6" ht="26.1" customHeight="1" x14ac:dyDescent="0.2">
      <c r="A2" s="68" t="s">
        <v>371</v>
      </c>
      <c r="B2" s="60"/>
      <c r="C2" s="60"/>
      <c r="D2" s="60"/>
      <c r="E2" s="60"/>
      <c r="F2" s="60"/>
    </row>
    <row r="4" spans="1:6" ht="18" customHeight="1" x14ac:dyDescent="0.2">
      <c r="A4" s="1" t="s">
        <v>42</v>
      </c>
      <c r="B4" s="1" t="s">
        <v>372</v>
      </c>
      <c r="C4" s="1" t="s">
        <v>373</v>
      </c>
      <c r="D4" s="1" t="s">
        <v>374</v>
      </c>
    </row>
    <row r="5" spans="1:6" ht="30" customHeight="1" x14ac:dyDescent="0.2">
      <c r="A5" s="9" t="str">
        <f ca="1">OFFSET('Raw Sales Data'!A4,0,0)</f>
        <v>VT-0001</v>
      </c>
      <c r="B5" s="3" t="s">
        <v>375</v>
      </c>
      <c r="C5" s="18" t="s">
        <v>444</v>
      </c>
      <c r="D5" s="11" t="s">
        <v>376</v>
      </c>
    </row>
    <row r="6" spans="1:6" ht="57.75" x14ac:dyDescent="0.2">
      <c r="A6" s="9" t="str">
        <f ca="1">OFFSET('Raw Sales Data'!A4,1,0)</f>
        <v>VT-0002</v>
      </c>
      <c r="B6" s="3" t="s">
        <v>377</v>
      </c>
      <c r="C6" s="18" t="s">
        <v>445</v>
      </c>
      <c r="D6" s="11" t="s">
        <v>378</v>
      </c>
    </row>
    <row r="7" spans="1:6" ht="66.75" x14ac:dyDescent="0.2">
      <c r="A7" s="9" t="str">
        <f ca="1">OFFSET('Raw Sales Data'!A4,2,0)</f>
        <v>VT-0003</v>
      </c>
      <c r="B7" s="3" t="s">
        <v>379</v>
      </c>
      <c r="C7" s="18" t="s">
        <v>446</v>
      </c>
      <c r="D7" s="11" t="s">
        <v>380</v>
      </c>
    </row>
    <row r="8" spans="1:6" ht="30" customHeight="1" x14ac:dyDescent="0.2">
      <c r="A8" s="9" t="str">
        <f ca="1">OFFSET('Raw Sales Data'!A4,3,0)</f>
        <v>VT-0004</v>
      </c>
      <c r="B8" s="3" t="s">
        <v>381</v>
      </c>
      <c r="C8" s="33" t="s">
        <v>484</v>
      </c>
      <c r="D8" s="11" t="s">
        <v>382</v>
      </c>
    </row>
    <row r="9" spans="1:6" ht="30" customHeight="1" x14ac:dyDescent="0.2">
      <c r="A9" s="9" t="str">
        <f ca="1">OFFSET('Raw Sales Data'!A4,4,0)</f>
        <v>VT-0005</v>
      </c>
      <c r="B9" s="31" t="s">
        <v>383</v>
      </c>
      <c r="C9" s="34" t="s">
        <v>483</v>
      </c>
      <c r="D9" s="32" t="s">
        <v>384</v>
      </c>
    </row>
    <row r="10" spans="1:6" ht="30" customHeight="1" x14ac:dyDescent="0.2">
      <c r="A10" s="9"/>
      <c r="B10" s="31"/>
      <c r="C10" s="35" t="s">
        <v>447</v>
      </c>
      <c r="D10" s="32"/>
    </row>
    <row r="11" spans="1:6" ht="39" x14ac:dyDescent="0.2">
      <c r="A11" s="9" t="str">
        <f ca="1">OFFSET('Raw Sales Data'!A4,5,0)</f>
        <v>VT-0006</v>
      </c>
      <c r="B11" s="3" t="s">
        <v>385</v>
      </c>
      <c r="C11" s="36" t="s">
        <v>448</v>
      </c>
      <c r="D11" s="11" t="s">
        <v>386</v>
      </c>
    </row>
    <row r="12" spans="1:6" ht="26.1" customHeight="1" x14ac:dyDescent="0.2"/>
    <row r="13" spans="1:6" ht="41.25" customHeight="1" x14ac:dyDescent="0.2">
      <c r="A13" s="63" t="s">
        <v>387</v>
      </c>
      <c r="B13" s="63"/>
      <c r="C13" s="63"/>
      <c r="D13" s="63"/>
    </row>
  </sheetData>
  <mergeCells count="3">
    <mergeCell ref="A2:F2"/>
    <mergeCell ref="A1:F1"/>
    <mergeCell ref="A13:D1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selection activeCell="D15" sqref="D15"/>
    </sheetView>
  </sheetViews>
  <sheetFormatPr defaultRowHeight="15" x14ac:dyDescent="0.2"/>
  <cols>
    <col min="1" max="1" width="11.02734375" customWidth="1"/>
    <col min="2" max="2" width="41.8359375" customWidth="1"/>
    <col min="3" max="3" width="16.0078125" customWidth="1"/>
    <col min="4" max="4" width="43.98828125" customWidth="1"/>
  </cols>
  <sheetData>
    <row r="1" spans="1:5" ht="26.1" customHeight="1" x14ac:dyDescent="0.2">
      <c r="A1" s="66" t="s">
        <v>388</v>
      </c>
      <c r="B1" s="60"/>
      <c r="C1" s="60"/>
      <c r="D1" s="60"/>
      <c r="E1" s="60"/>
    </row>
    <row r="2" spans="1:5" ht="26.1" customHeight="1" x14ac:dyDescent="0.2">
      <c r="A2" s="68" t="s">
        <v>389</v>
      </c>
      <c r="B2" s="60"/>
      <c r="C2" s="60"/>
      <c r="D2" s="60"/>
      <c r="E2" s="60"/>
    </row>
    <row r="4" spans="1:5" ht="18" customHeight="1" x14ac:dyDescent="0.2">
      <c r="A4" s="1" t="s">
        <v>42</v>
      </c>
      <c r="B4" s="1" t="s">
        <v>390</v>
      </c>
      <c r="C4" s="1" t="s">
        <v>391</v>
      </c>
      <c r="D4" s="1" t="s">
        <v>373</v>
      </c>
    </row>
    <row r="5" spans="1:5" ht="21" x14ac:dyDescent="0.2">
      <c r="A5" s="12" t="s">
        <v>51</v>
      </c>
      <c r="B5" s="4" t="s">
        <v>392</v>
      </c>
      <c r="C5" s="13" t="s">
        <v>393</v>
      </c>
      <c r="D5" s="10" t="s">
        <v>437</v>
      </c>
    </row>
    <row r="6" spans="1:5" ht="21" x14ac:dyDescent="0.2">
      <c r="A6" s="12" t="s">
        <v>51</v>
      </c>
      <c r="B6" s="4" t="s">
        <v>394</v>
      </c>
      <c r="C6" s="13" t="s">
        <v>393</v>
      </c>
      <c r="D6" s="18" t="s">
        <v>438</v>
      </c>
    </row>
    <row r="7" spans="1:5" ht="28.5" customHeight="1" x14ac:dyDescent="0.2">
      <c r="A7" s="12" t="s">
        <v>51</v>
      </c>
      <c r="B7" s="4" t="s">
        <v>395</v>
      </c>
      <c r="C7" s="13" t="s">
        <v>396</v>
      </c>
      <c r="D7" s="18" t="s">
        <v>439</v>
      </c>
    </row>
    <row r="8" spans="1:5" ht="27.75" customHeight="1" x14ac:dyDescent="0.2">
      <c r="A8" s="12" t="s">
        <v>51</v>
      </c>
      <c r="B8" s="4" t="s">
        <v>397</v>
      </c>
      <c r="C8" s="13" t="s">
        <v>396</v>
      </c>
      <c r="D8" s="18" t="s">
        <v>440</v>
      </c>
    </row>
    <row r="9" spans="1:5" ht="25.5" customHeight="1" x14ac:dyDescent="0.2">
      <c r="A9" s="12" t="s">
        <v>51</v>
      </c>
      <c r="B9" s="19" t="s">
        <v>398</v>
      </c>
      <c r="C9" s="13" t="s">
        <v>396</v>
      </c>
      <c r="D9" s="18" t="s">
        <v>441</v>
      </c>
    </row>
    <row r="12" spans="1:5" x14ac:dyDescent="0.2">
      <c r="B12" s="20" t="s">
        <v>442</v>
      </c>
      <c r="D12" s="20" t="s">
        <v>443</v>
      </c>
    </row>
    <row r="13" spans="1:5" x14ac:dyDescent="0.2">
      <c r="B13" s="21">
        <f>VLOOKUP(VLOOKUP(A5,'Raw Sales Data'!A4:O99,8,FALSE),'Product Master'!A4:D18,4,FALSE)</f>
        <v>1299</v>
      </c>
      <c r="D13" s="24" t="str">
        <f>(INDEX('Raw Sales Data'!A4:O99,MATCH('Phase 3 Workspace'!A5,'Raw Sales Data'!A4:A99,0),8))</f>
        <v>EL-2205</v>
      </c>
    </row>
    <row r="14" spans="1:5" x14ac:dyDescent="0.2">
      <c r="B14" s="22" t="str">
        <f>VLOOKUP(VLOOKUP(A6,'Raw Sales Data'!A4:O99,8,FALSE),'Product Master'!A4:D18,2,FALSE)</f>
        <v>Samsung TV</v>
      </c>
      <c r="D14" s="25">
        <f>VLOOKUP(D13,'Product Master'!A4:D18,4,FALSE)</f>
        <v>1299</v>
      </c>
    </row>
    <row r="15" spans="1:5" x14ac:dyDescent="0.2">
      <c r="B15" s="23" t="str">
        <f>VLOOKUP(VLOOKUP(A7,'Raw Sales Data'!A4:O99,10,FALSE),'Employee Master'!A4:D13,2,FALSE)</f>
        <v>Sarah Connor</v>
      </c>
      <c r="D15" s="26" t="str">
        <f>INDEX('Raw Sales Data'!A4:O99,MATCH('Phase 3 Workspace'!A6,'Raw Sales Data'!A4:A99,0),8)</f>
        <v>EL-2205</v>
      </c>
    </row>
    <row r="16" spans="1:5" x14ac:dyDescent="0.2">
      <c r="B16" s="22" t="str">
        <f>VLOOKUP(VLOOKUP('Phase 3 Workspace'!A8,'Raw Sales Data'!A4:O99,10,FALSE),'Employee Master'!A4:D13,3,FALSE)</f>
        <v>Sales</v>
      </c>
      <c r="D16" s="27" t="str">
        <f>VLOOKUP(D15,'Product Master'!A4:D18,2,FALSE)</f>
        <v>Samsung TV</v>
      </c>
    </row>
    <row r="17" spans="2:4" x14ac:dyDescent="0.2">
      <c r="B17" s="21">
        <f>VLOOKUP(VLOOKUP(A9,'Raw Sales Data'!A4:O99,10,FALSE),'Employee Master'!A4:D13,4,FALSE)</f>
        <v>3</v>
      </c>
      <c r="D17" s="28" t="str">
        <f>INDEX('Raw Sales Data'!A4:O99,MATCH('Phase 3 Workspace'!A7,'Raw Sales Data'!A4:A99,0),10)</f>
        <v>E002</v>
      </c>
    </row>
    <row r="18" spans="2:4" x14ac:dyDescent="0.2">
      <c r="D18" s="29" t="str">
        <f>VLOOKUP(D17,'Employee Master'!A4:D13,2,FALSE)</f>
        <v>Sarah Connor</v>
      </c>
    </row>
    <row r="19" spans="2:4" x14ac:dyDescent="0.2">
      <c r="D19" s="26" t="str">
        <f>INDEX('Raw Sales Data'!A4:O99,MATCH('Phase 3 Workspace'!A8,'Raw Sales Data'!A4:A99,0),10)</f>
        <v>E002</v>
      </c>
    </row>
    <row r="20" spans="2:4" x14ac:dyDescent="0.2">
      <c r="D20" s="27" t="str">
        <f>VLOOKUP(D19,'Employee Master'!A4:D13,3,FALSE)</f>
        <v>Sales</v>
      </c>
    </row>
    <row r="21" spans="2:4" x14ac:dyDescent="0.2">
      <c r="D21" s="28" t="str">
        <f>INDEX('Raw Sales Data'!A4:O99,MATCH('Phase 3 Workspace'!A9,'Raw Sales Data'!A4:A99,0),10)</f>
        <v>E002</v>
      </c>
    </row>
    <row r="22" spans="2:4" x14ac:dyDescent="0.2">
      <c r="D22" s="29">
        <f>VLOOKUP(D21,'Employee Master'!A4:D13,4,FALSE)</f>
        <v>3</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6"/>
  <sheetViews>
    <sheetView topLeftCell="A3" workbookViewId="0">
      <selection activeCell="A20" sqref="A20"/>
    </sheetView>
  </sheetViews>
  <sheetFormatPr defaultRowHeight="15" x14ac:dyDescent="0.2"/>
  <cols>
    <col min="1" max="6" width="16.0078125" customWidth="1"/>
    <col min="8" max="8" width="11.8359375" customWidth="1"/>
    <col min="9" max="9" width="21.38671875" customWidth="1"/>
    <col min="10" max="10" width="20.84765625" customWidth="1"/>
    <col min="11" max="11" width="15.6015625" bestFit="1" customWidth="1"/>
  </cols>
  <sheetData>
    <row r="1" spans="1:16" ht="30" customHeight="1" x14ac:dyDescent="0.2">
      <c r="A1" s="59" t="s">
        <v>399</v>
      </c>
      <c r="B1" s="60"/>
      <c r="C1" s="60"/>
      <c r="D1" s="60"/>
      <c r="E1" s="60"/>
      <c r="F1" s="60"/>
    </row>
    <row r="3" spans="1:16" ht="20.100000000000001" customHeight="1" x14ac:dyDescent="0.2">
      <c r="A3" s="64" t="s">
        <v>400</v>
      </c>
      <c r="B3" s="60"/>
      <c r="C3" s="60"/>
      <c r="D3" s="60"/>
      <c r="E3" s="60"/>
      <c r="F3" s="60"/>
    </row>
    <row r="4" spans="1:16" ht="18" customHeight="1" x14ac:dyDescent="0.2">
      <c r="A4" s="2" t="s">
        <v>401</v>
      </c>
      <c r="B4" s="2" t="s">
        <v>402</v>
      </c>
      <c r="C4" s="2" t="s">
        <v>403</v>
      </c>
      <c r="D4" s="2" t="s">
        <v>404</v>
      </c>
      <c r="E4" s="2" t="s">
        <v>405</v>
      </c>
      <c r="F4" s="2" t="s">
        <v>406</v>
      </c>
    </row>
    <row r="5" spans="1:16" ht="20.100000000000001" customHeight="1" x14ac:dyDescent="0.2">
      <c r="A5" s="41">
        <f>SUM('Raw Sales Data'!M4:M99)</f>
        <v>60399</v>
      </c>
      <c r="B5" s="14">
        <f>COUNT('Raw Sales Data'!I4:I99)</f>
        <v>88</v>
      </c>
      <c r="C5" s="14">
        <f>COUNTIF('Raw Sales Data'!O4:O99,"Yes")*B5/100</f>
        <v>7.04</v>
      </c>
      <c r="D5" s="42" t="s">
        <v>118</v>
      </c>
      <c r="E5" s="42" t="s">
        <v>54</v>
      </c>
      <c r="F5" s="42" t="s">
        <v>119</v>
      </c>
      <c r="H5" t="s">
        <v>432</v>
      </c>
      <c r="I5" t="s">
        <v>451</v>
      </c>
      <c r="J5" t="s">
        <v>432</v>
      </c>
      <c r="K5" t="s">
        <v>451</v>
      </c>
    </row>
    <row r="6" spans="1:16" x14ac:dyDescent="0.2">
      <c r="H6" s="17" t="s">
        <v>118</v>
      </c>
      <c r="I6" s="43">
        <v>25045</v>
      </c>
      <c r="J6" s="17" t="s">
        <v>108</v>
      </c>
      <c r="K6" s="43">
        <v>5787</v>
      </c>
    </row>
    <row r="7" spans="1:16" ht="20.100000000000001" customHeight="1" x14ac:dyDescent="0.2">
      <c r="A7" s="73" t="s">
        <v>407</v>
      </c>
      <c r="B7" s="60"/>
      <c r="C7" s="60"/>
      <c r="D7" s="60"/>
      <c r="E7" s="60"/>
      <c r="F7" s="60"/>
      <c r="H7" s="17" t="s">
        <v>433</v>
      </c>
      <c r="I7" s="43">
        <v>25045</v>
      </c>
      <c r="J7" s="17" t="s">
        <v>73</v>
      </c>
      <c r="K7" s="43">
        <v>12766</v>
      </c>
    </row>
    <row r="8" spans="1:16" ht="20.100000000000001" customHeight="1" x14ac:dyDescent="0.2">
      <c r="A8" s="71" t="s">
        <v>408</v>
      </c>
      <c r="B8" s="60"/>
      <c r="C8" s="60"/>
      <c r="D8" s="72" t="s">
        <v>409</v>
      </c>
      <c r="E8" s="60"/>
      <c r="F8" s="60"/>
      <c r="J8" s="17" t="s">
        <v>91</v>
      </c>
      <c r="K8" s="43">
        <v>16801</v>
      </c>
    </row>
    <row r="9" spans="1:16" ht="20.100000000000001" customHeight="1" x14ac:dyDescent="0.2">
      <c r="A9" s="71" t="s">
        <v>410</v>
      </c>
      <c r="B9" s="60"/>
      <c r="C9" s="60"/>
      <c r="D9" s="72" t="s">
        <v>411</v>
      </c>
      <c r="E9" s="60"/>
      <c r="F9" s="60"/>
      <c r="H9" t="s">
        <v>432</v>
      </c>
      <c r="I9" t="s">
        <v>451</v>
      </c>
      <c r="J9" s="17" t="s">
        <v>118</v>
      </c>
      <c r="K9" s="43">
        <v>25045</v>
      </c>
    </row>
    <row r="10" spans="1:16" ht="20.100000000000001" customHeight="1" x14ac:dyDescent="0.2">
      <c r="A10" s="71" t="s">
        <v>412</v>
      </c>
      <c r="B10" s="60"/>
      <c r="C10" s="60"/>
      <c r="D10" s="72" t="s">
        <v>413</v>
      </c>
      <c r="E10" s="60"/>
      <c r="F10" s="60"/>
      <c r="H10" s="17" t="s">
        <v>54</v>
      </c>
      <c r="I10" s="43">
        <v>14034</v>
      </c>
      <c r="J10" s="17" t="s">
        <v>433</v>
      </c>
      <c r="K10" s="43">
        <v>60399</v>
      </c>
    </row>
    <row r="11" spans="1:16" ht="20.100000000000001" customHeight="1" x14ac:dyDescent="0.2">
      <c r="A11" s="71" t="s">
        <v>414</v>
      </c>
      <c r="B11" s="60"/>
      <c r="C11" s="60"/>
      <c r="D11" s="72" t="s">
        <v>415</v>
      </c>
      <c r="E11" s="60"/>
      <c r="F11" s="60"/>
      <c r="H11" s="17" t="s">
        <v>433</v>
      </c>
      <c r="I11" s="43">
        <v>14034</v>
      </c>
    </row>
    <row r="12" spans="1:16" ht="20.100000000000001" customHeight="1" x14ac:dyDescent="0.2">
      <c r="A12" s="71" t="s">
        <v>416</v>
      </c>
      <c r="B12" s="60"/>
      <c r="C12" s="60"/>
      <c r="D12" s="72" t="s">
        <v>417</v>
      </c>
      <c r="E12" s="60"/>
      <c r="F12" s="60"/>
    </row>
    <row r="13" spans="1:16" x14ac:dyDescent="0.2">
      <c r="H13" t="s">
        <v>432</v>
      </c>
      <c r="I13" t="s">
        <v>451</v>
      </c>
      <c r="O13" s="17"/>
      <c r="P13" s="43"/>
    </row>
    <row r="14" spans="1:16" ht="20.100000000000001" customHeight="1" x14ac:dyDescent="0.2">
      <c r="A14" s="64" t="s">
        <v>418</v>
      </c>
      <c r="B14" s="60"/>
      <c r="C14" s="60"/>
      <c r="D14" s="60"/>
      <c r="E14" s="60"/>
      <c r="F14" s="60"/>
      <c r="H14" s="17" t="s">
        <v>119</v>
      </c>
      <c r="I14" s="43">
        <v>25045</v>
      </c>
      <c r="O14" s="17"/>
      <c r="P14" s="43"/>
    </row>
    <row r="15" spans="1:16" ht="99.95" customHeight="1" x14ac:dyDescent="0.2">
      <c r="A15" s="69" t="s">
        <v>478</v>
      </c>
      <c r="B15" s="70"/>
      <c r="C15" s="70"/>
      <c r="D15" s="70"/>
      <c r="E15" s="70"/>
      <c r="F15" s="70"/>
      <c r="H15" s="17" t="s">
        <v>433</v>
      </c>
      <c r="I15" s="43">
        <v>25045</v>
      </c>
      <c r="O15" s="17"/>
      <c r="P15" s="43"/>
    </row>
    <row r="16" spans="1:16" x14ac:dyDescent="0.2">
      <c r="A16" s="70"/>
      <c r="B16" s="70"/>
      <c r="C16" s="70"/>
      <c r="D16" s="70"/>
      <c r="E16" s="70"/>
      <c r="F16" s="70"/>
      <c r="O16" s="17"/>
      <c r="P16" s="43"/>
    </row>
    <row r="17" spans="1:16" x14ac:dyDescent="0.2">
      <c r="A17" s="70"/>
      <c r="B17" s="70"/>
      <c r="C17" s="70"/>
      <c r="D17" s="70"/>
      <c r="E17" s="70"/>
      <c r="F17" s="70"/>
      <c r="O17" s="17"/>
      <c r="P17" s="43"/>
    </row>
    <row r="18" spans="1:16" x14ac:dyDescent="0.2">
      <c r="A18" s="70"/>
      <c r="B18" s="70"/>
      <c r="C18" s="70"/>
      <c r="D18" s="70"/>
      <c r="E18" s="70"/>
      <c r="F18" s="70"/>
      <c r="O18" s="17"/>
      <c r="P18" s="43"/>
    </row>
    <row r="19" spans="1:16" x14ac:dyDescent="0.2">
      <c r="A19" s="70"/>
      <c r="B19" s="70"/>
      <c r="C19" s="70"/>
      <c r="D19" s="70"/>
      <c r="E19" s="70"/>
      <c r="F19" s="70"/>
      <c r="O19" s="17"/>
      <c r="P19" s="43"/>
    </row>
    <row r="20" spans="1:16" x14ac:dyDescent="0.2">
      <c r="O20" s="17"/>
      <c r="P20" s="43"/>
    </row>
    <row r="21" spans="1:16" x14ac:dyDescent="0.2">
      <c r="O21" s="17"/>
      <c r="P21" s="43"/>
    </row>
    <row r="22" spans="1:16" x14ac:dyDescent="0.2">
      <c r="O22" s="17"/>
      <c r="P22" s="43"/>
    </row>
    <row r="23" spans="1:16" x14ac:dyDescent="0.2">
      <c r="O23" s="17"/>
      <c r="P23" s="43"/>
    </row>
    <row r="24" spans="1:16" x14ac:dyDescent="0.2">
      <c r="O24" s="17"/>
      <c r="P24" s="43"/>
    </row>
    <row r="26" spans="1:16" x14ac:dyDescent="0.2">
      <c r="I26" s="58"/>
      <c r="J26" s="58"/>
    </row>
  </sheetData>
  <mergeCells count="15">
    <mergeCell ref="A14:F14"/>
    <mergeCell ref="A15:F19"/>
    <mergeCell ref="A8:C8"/>
    <mergeCell ref="A1:F1"/>
    <mergeCell ref="A12:C12"/>
    <mergeCell ref="D12:F12"/>
    <mergeCell ref="A9:C9"/>
    <mergeCell ref="D9:F9"/>
    <mergeCell ref="A3:F3"/>
    <mergeCell ref="D8:F8"/>
    <mergeCell ref="A7:F7"/>
    <mergeCell ref="D10:F10"/>
    <mergeCell ref="A10:C10"/>
    <mergeCell ref="D11:F11"/>
    <mergeCell ref="A11:C11"/>
  </mergeCells>
  <conditionalFormatting sqref="H5:I5">
    <cfRule type="top10" dxfId="10" priority="6" rank="1"/>
    <cfRule type="top10" dxfId="9" priority="7" rank="1"/>
    <cfRule type="top10" dxfId="8" priority="8" rank="10"/>
  </conditionalFormatting>
  <conditionalFormatting sqref="I28:I30">
    <cfRule type="top10" dxfId="7" priority="2" bottom="1" rank="3"/>
    <cfRule type="top10" dxfId="6" priority="3" rank="3"/>
  </conditionalFormatting>
  <conditionalFormatting sqref="I31:I33">
    <cfRule type="top10" dxfId="5" priority="4" bottom="1" rank="3"/>
    <cfRule type="top10" dxfId="4" priority="5" rank="3"/>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iconSet" priority="1" id="{F1CF72EA-DA79-456D-ADA3-9AFFE9794358}">
            <x14:iconSet iconSet="3Arrows" custom="1">
              <x14:cfvo type="percent">
                <xm:f>0</xm:f>
              </x14:cfvo>
              <x14:cfvo type="num" gte="0">
                <xm:f>0</xm:f>
              </x14:cfvo>
              <x14:cfvo type="num" gte="0">
                <xm:f>2220</xm:f>
              </x14:cfvo>
              <x14:cfIcon iconSet="3Arrows" iconId="1"/>
              <x14:cfIcon iconSet="3Arrows" iconId="0"/>
              <x14:cfIcon iconSet="3Arrows" iconId="2"/>
            </x14:iconSet>
          </x14:cfRule>
          <xm:sqref>I28:J33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21C0-AC55-406E-83B9-F49D57C1E7E6}">
  <dimension ref="A1:Y12"/>
  <sheetViews>
    <sheetView showGridLines="0" zoomScaleNormal="100" workbookViewId="0">
      <selection sqref="A1:XFD1048576"/>
    </sheetView>
  </sheetViews>
  <sheetFormatPr defaultRowHeight="15" x14ac:dyDescent="0.2"/>
  <cols>
    <col min="1" max="2" width="36.3203125" customWidth="1"/>
    <col min="3" max="3" width="39.546875" customWidth="1"/>
    <col min="4" max="4" width="36.05078125" customWidth="1"/>
    <col min="5" max="5" width="36.72265625" customWidth="1"/>
    <col min="6" max="6" width="41.1640625" customWidth="1"/>
  </cols>
  <sheetData>
    <row r="1" spans="1:25" ht="15" customHeight="1" x14ac:dyDescent="0.2">
      <c r="A1" s="74" t="s">
        <v>468</v>
      </c>
      <c r="B1" s="75"/>
      <c r="C1" s="75"/>
      <c r="D1" s="75"/>
      <c r="E1" s="75"/>
      <c r="F1" s="75"/>
      <c r="G1" s="75"/>
      <c r="H1" s="46"/>
      <c r="I1" s="46"/>
      <c r="J1" s="46"/>
      <c r="K1" s="46"/>
      <c r="L1" s="46"/>
      <c r="M1" s="46"/>
      <c r="N1" s="46"/>
      <c r="O1" s="46"/>
      <c r="P1" s="46"/>
      <c r="Q1" s="46"/>
      <c r="R1" s="46"/>
      <c r="S1" s="46"/>
      <c r="T1" s="46"/>
      <c r="U1" s="46"/>
      <c r="V1" s="46"/>
      <c r="W1" s="46"/>
      <c r="X1" s="46"/>
      <c r="Y1" s="47"/>
    </row>
    <row r="2" spans="1:25" ht="15" customHeight="1" x14ac:dyDescent="0.2">
      <c r="A2" s="76"/>
      <c r="B2" s="77"/>
      <c r="C2" s="77"/>
      <c r="D2" s="77"/>
      <c r="E2" s="77"/>
      <c r="F2" s="77"/>
      <c r="G2" s="77"/>
      <c r="H2" s="48"/>
      <c r="I2" s="48"/>
      <c r="J2" s="48"/>
      <c r="K2" s="48"/>
      <c r="L2" s="48"/>
      <c r="M2" s="48"/>
      <c r="N2" s="48"/>
      <c r="O2" s="48"/>
      <c r="P2" s="48"/>
      <c r="Q2" s="48"/>
      <c r="R2" s="48"/>
      <c r="S2" s="48"/>
      <c r="T2" s="48"/>
      <c r="U2" s="48"/>
      <c r="V2" s="48"/>
      <c r="W2" s="48"/>
      <c r="X2" s="48"/>
      <c r="Y2" s="49"/>
    </row>
    <row r="3" spans="1:25" ht="25.5" customHeight="1" x14ac:dyDescent="0.2">
      <c r="A3" s="52" t="s">
        <v>401</v>
      </c>
      <c r="B3" s="52" t="s">
        <v>402</v>
      </c>
      <c r="C3" s="52" t="s">
        <v>403</v>
      </c>
      <c r="D3" s="52" t="s">
        <v>404</v>
      </c>
      <c r="E3" s="52" t="s">
        <v>405</v>
      </c>
      <c r="F3" s="52" t="s">
        <v>406</v>
      </c>
    </row>
    <row r="4" spans="1:25" ht="24.75" customHeight="1" x14ac:dyDescent="0.2">
      <c r="A4" s="50">
        <f>SUM('Raw Sales Data'!M3:M98)</f>
        <v>59850</v>
      </c>
      <c r="B4" s="51">
        <f>COUNT('Raw Sales Data'!I3:I98)</f>
        <v>87</v>
      </c>
      <c r="C4" s="51">
        <f>COUNTIF('Raw Sales Data'!O3:O98,"Yes")*B4/100</f>
        <v>6.96</v>
      </c>
      <c r="D4" s="51" t="s">
        <v>118</v>
      </c>
      <c r="E4" s="51" t="s">
        <v>54</v>
      </c>
      <c r="F4" s="51" t="s">
        <v>119</v>
      </c>
    </row>
    <row r="5" spans="1:25" ht="26.25" customHeight="1" x14ac:dyDescent="0.2">
      <c r="A5" s="78" t="s">
        <v>466</v>
      </c>
      <c r="B5" s="79"/>
    </row>
    <row r="6" spans="1:25" ht="27.75" customHeight="1" x14ac:dyDescent="0.2">
      <c r="A6" s="53" t="s">
        <v>465</v>
      </c>
      <c r="B6" s="53" t="s">
        <v>450</v>
      </c>
    </row>
    <row r="7" spans="1:25" ht="28.5" customHeight="1" x14ac:dyDescent="0.2">
      <c r="A7" s="56" t="s">
        <v>54</v>
      </c>
      <c r="B7" s="57">
        <v>14034</v>
      </c>
    </row>
    <row r="8" spans="1:25" ht="27" customHeight="1" x14ac:dyDescent="0.2">
      <c r="A8" s="56" t="s">
        <v>365</v>
      </c>
      <c r="B8" s="57">
        <v>10078</v>
      </c>
    </row>
    <row r="9" spans="1:25" ht="27.75" customHeight="1" x14ac:dyDescent="0.2">
      <c r="A9" s="56" t="s">
        <v>90</v>
      </c>
      <c r="B9" s="57">
        <v>8979</v>
      </c>
    </row>
    <row r="10" spans="1:25" ht="23.25" customHeight="1" x14ac:dyDescent="0.2">
      <c r="A10" s="54" t="s">
        <v>103</v>
      </c>
      <c r="B10" s="55">
        <v>2220</v>
      </c>
    </row>
    <row r="11" spans="1:25" ht="24" customHeight="1" x14ac:dyDescent="0.2">
      <c r="A11" s="54" t="s">
        <v>369</v>
      </c>
      <c r="B11" s="55">
        <v>1551</v>
      </c>
    </row>
    <row r="12" spans="1:25" ht="25.5" customHeight="1" x14ac:dyDescent="0.2">
      <c r="A12" s="54" t="s">
        <v>367</v>
      </c>
      <c r="B12" s="55">
        <v>1189</v>
      </c>
    </row>
  </sheetData>
  <mergeCells count="2">
    <mergeCell ref="A1:G2"/>
    <mergeCell ref="A5:B5"/>
  </mergeCells>
  <conditionalFormatting sqref="A7:A9">
    <cfRule type="top10" dxfId="3" priority="2" bottom="1" rank="3"/>
    <cfRule type="top10" dxfId="2" priority="3" rank="3"/>
  </conditionalFormatting>
  <conditionalFormatting sqref="A10:A12">
    <cfRule type="top10" dxfId="1" priority="4" bottom="1" rank="3"/>
    <cfRule type="top10" dxfId="0" priority="5" rank="3"/>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4A0CD422-44CE-4060-9785-47881329569C}">
            <x14:iconSet iconSet="3Arrows" custom="1">
              <x14:cfvo type="percent">
                <xm:f>0</xm:f>
              </x14:cfvo>
              <x14:cfvo type="num" gte="0">
                <xm:f>0</xm:f>
              </x14:cfvo>
              <x14:cfvo type="num" gte="0">
                <xm:f>2220</xm:f>
              </x14:cfvo>
              <x14:cfIcon iconSet="3Arrows" iconId="1"/>
              <x14:cfIcon iconSet="3Arrows" iconId="0"/>
              <x14:cfIcon iconSet="3Arrows" iconId="2"/>
            </x14:iconSet>
          </x14:cfRule>
          <xm:sqref>A7:B12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8"/>
  <sheetViews>
    <sheetView workbookViewId="0">
      <selection activeCell="G7" sqref="G7"/>
    </sheetView>
  </sheetViews>
  <sheetFormatPr defaultRowHeight="15" x14ac:dyDescent="0.2"/>
  <cols>
    <col min="1" max="1" width="39.953125" customWidth="1"/>
    <col min="2" max="5" width="18.0234375" customWidth="1"/>
  </cols>
  <sheetData>
    <row r="1" spans="1:5" ht="26.1" customHeight="1" x14ac:dyDescent="0.2">
      <c r="A1" s="66" t="s">
        <v>419</v>
      </c>
      <c r="B1" s="60"/>
      <c r="C1" s="60"/>
      <c r="D1" s="60"/>
      <c r="E1" s="60"/>
    </row>
    <row r="2" spans="1:5" ht="26.1" customHeight="1" x14ac:dyDescent="0.2">
      <c r="A2" s="63" t="s">
        <v>420</v>
      </c>
      <c r="B2" s="60"/>
      <c r="C2" s="60"/>
      <c r="D2" s="60"/>
      <c r="E2" s="60"/>
    </row>
    <row r="4" spans="1:5" ht="24" customHeight="1" x14ac:dyDescent="0.2">
      <c r="A4" s="64" t="s">
        <v>421</v>
      </c>
      <c r="B4" s="60"/>
      <c r="C4" s="60"/>
      <c r="D4" s="60"/>
      <c r="E4" s="60"/>
    </row>
    <row r="5" spans="1:5" ht="21.95" customHeight="1" x14ac:dyDescent="0.2">
      <c r="A5" s="15" t="s">
        <v>422</v>
      </c>
      <c r="B5" s="80" t="s">
        <v>472</v>
      </c>
      <c r="C5" s="60"/>
      <c r="D5" s="60"/>
      <c r="E5" s="60"/>
    </row>
    <row r="6" spans="1:5" ht="21.95" customHeight="1" x14ac:dyDescent="0.2">
      <c r="A6" s="15" t="s">
        <v>423</v>
      </c>
      <c r="B6" s="80" t="s">
        <v>444</v>
      </c>
      <c r="C6" s="60"/>
      <c r="D6" s="60"/>
      <c r="E6" s="60"/>
    </row>
    <row r="7" spans="1:5" ht="21.95" customHeight="1" x14ac:dyDescent="0.2">
      <c r="A7" s="15" t="s">
        <v>424</v>
      </c>
      <c r="B7" s="80" t="s">
        <v>115</v>
      </c>
      <c r="C7" s="60"/>
      <c r="D7" s="60"/>
      <c r="E7" s="60"/>
    </row>
    <row r="8" spans="1:5" ht="21.95" customHeight="1" x14ac:dyDescent="0.2">
      <c r="A8" s="15" t="s">
        <v>425</v>
      </c>
      <c r="B8" s="80" t="s">
        <v>469</v>
      </c>
      <c r="C8" s="60"/>
      <c r="D8" s="60"/>
      <c r="E8" s="60"/>
    </row>
    <row r="9" spans="1:5" ht="21.95" customHeight="1" x14ac:dyDescent="0.2">
      <c r="A9" s="15" t="s">
        <v>426</v>
      </c>
      <c r="B9" s="80" t="s">
        <v>469</v>
      </c>
      <c r="C9" s="60"/>
      <c r="D9" s="60"/>
      <c r="E9" s="60"/>
    </row>
    <row r="10" spans="1:5" ht="21.95" customHeight="1" x14ac:dyDescent="0.2">
      <c r="A10" s="15" t="s">
        <v>427</v>
      </c>
      <c r="B10" s="80" t="s">
        <v>470</v>
      </c>
      <c r="C10" s="60"/>
      <c r="D10" s="60"/>
      <c r="E10" s="60"/>
    </row>
    <row r="11" spans="1:5" ht="50.25" customHeight="1" x14ac:dyDescent="0.2">
      <c r="A11" s="15" t="s">
        <v>428</v>
      </c>
      <c r="B11" s="80" t="s">
        <v>471</v>
      </c>
      <c r="C11" s="60"/>
      <c r="D11" s="60"/>
      <c r="E11" s="60"/>
    </row>
    <row r="13" spans="1:5" ht="24" customHeight="1" x14ac:dyDescent="0.2">
      <c r="A13" s="64" t="s">
        <v>429</v>
      </c>
      <c r="B13" s="60"/>
      <c r="C13" s="60"/>
      <c r="D13" s="60"/>
      <c r="E13" s="60"/>
    </row>
    <row r="14" spans="1:5" ht="21.95" customHeight="1" x14ac:dyDescent="0.2">
      <c r="A14" s="15" t="s">
        <v>422</v>
      </c>
      <c r="B14" s="80" t="s">
        <v>473</v>
      </c>
      <c r="C14" s="60"/>
      <c r="D14" s="60"/>
      <c r="E14" s="60"/>
    </row>
    <row r="15" spans="1:5" ht="64.5" customHeight="1" x14ac:dyDescent="0.2">
      <c r="A15" s="15" t="s">
        <v>423</v>
      </c>
      <c r="B15" s="80" t="s">
        <v>474</v>
      </c>
      <c r="C15" s="60"/>
      <c r="D15" s="60"/>
      <c r="E15" s="60"/>
    </row>
    <row r="16" spans="1:5" ht="21.95" customHeight="1" x14ac:dyDescent="0.2">
      <c r="A16" s="15" t="s">
        <v>424</v>
      </c>
      <c r="B16" s="80" t="s">
        <v>115</v>
      </c>
      <c r="C16" s="60"/>
      <c r="D16" s="60"/>
      <c r="E16" s="60"/>
    </row>
    <row r="17" spans="1:5" ht="21.95" customHeight="1" x14ac:dyDescent="0.2">
      <c r="A17" s="15" t="s">
        <v>425</v>
      </c>
      <c r="B17" s="80" t="s">
        <v>469</v>
      </c>
      <c r="C17" s="60"/>
      <c r="D17" s="60"/>
      <c r="E17" s="60"/>
    </row>
    <row r="18" spans="1:5" ht="21.95" customHeight="1" x14ac:dyDescent="0.2">
      <c r="A18" s="15" t="s">
        <v>426</v>
      </c>
      <c r="B18" s="80" t="s">
        <v>469</v>
      </c>
      <c r="C18" s="60"/>
      <c r="D18" s="60"/>
      <c r="E18" s="60"/>
    </row>
    <row r="19" spans="1:5" ht="21.95" customHeight="1" x14ac:dyDescent="0.2">
      <c r="A19" s="15" t="s">
        <v>427</v>
      </c>
      <c r="B19" s="80" t="s">
        <v>475</v>
      </c>
      <c r="C19" s="60"/>
      <c r="D19" s="60"/>
      <c r="E19" s="60"/>
    </row>
    <row r="20" spans="1:5" ht="53.25" customHeight="1" x14ac:dyDescent="0.2">
      <c r="A20" s="15" t="s">
        <v>428</v>
      </c>
      <c r="B20" s="80" t="s">
        <v>471</v>
      </c>
      <c r="C20" s="60"/>
      <c r="D20" s="60"/>
      <c r="E20" s="60"/>
    </row>
    <row r="22" spans="1:5" ht="24" customHeight="1" x14ac:dyDescent="0.2">
      <c r="A22" s="64" t="s">
        <v>430</v>
      </c>
      <c r="B22" s="60"/>
      <c r="C22" s="60"/>
      <c r="D22" s="60"/>
      <c r="E22" s="60"/>
    </row>
    <row r="23" spans="1:5" ht="21.95" customHeight="1" x14ac:dyDescent="0.2">
      <c r="A23" s="15" t="s">
        <v>422</v>
      </c>
      <c r="B23" s="80" t="s">
        <v>476</v>
      </c>
      <c r="C23" s="60"/>
      <c r="D23" s="60"/>
      <c r="E23" s="60"/>
    </row>
    <row r="24" spans="1:5" ht="51.75" customHeight="1" x14ac:dyDescent="0.2">
      <c r="A24" s="15" t="s">
        <v>423</v>
      </c>
      <c r="B24" s="80" t="s">
        <v>477</v>
      </c>
      <c r="C24" s="60"/>
      <c r="D24" s="60"/>
      <c r="E24" s="60"/>
    </row>
    <row r="25" spans="1:5" ht="21.95" customHeight="1" x14ac:dyDescent="0.2">
      <c r="A25" s="15" t="s">
        <v>424</v>
      </c>
      <c r="B25" s="80" t="s">
        <v>115</v>
      </c>
      <c r="C25" s="60"/>
      <c r="D25" s="60"/>
      <c r="E25" s="60"/>
    </row>
    <row r="26" spans="1:5" ht="21.95" customHeight="1" x14ac:dyDescent="0.2">
      <c r="A26" s="15" t="s">
        <v>425</v>
      </c>
      <c r="B26" s="80" t="s">
        <v>469</v>
      </c>
      <c r="C26" s="60"/>
      <c r="D26" s="60"/>
      <c r="E26" s="60"/>
    </row>
    <row r="27" spans="1:5" ht="21.95" customHeight="1" x14ac:dyDescent="0.2">
      <c r="A27" s="15" t="s">
        <v>426</v>
      </c>
      <c r="B27" s="80" t="s">
        <v>469</v>
      </c>
      <c r="C27" s="60"/>
      <c r="D27" s="60"/>
      <c r="E27" s="60"/>
    </row>
    <row r="28" spans="1:5" ht="21.95" customHeight="1" x14ac:dyDescent="0.2">
      <c r="A28" s="15" t="s">
        <v>427</v>
      </c>
      <c r="B28" s="80" t="s">
        <v>470</v>
      </c>
      <c r="C28" s="60"/>
      <c r="D28" s="60"/>
      <c r="E28" s="60"/>
    </row>
    <row r="29" spans="1:5" ht="48.75" customHeight="1" x14ac:dyDescent="0.2">
      <c r="A29" s="15" t="s">
        <v>428</v>
      </c>
      <c r="B29" s="80" t="s">
        <v>471</v>
      </c>
      <c r="C29" s="60"/>
      <c r="D29" s="60"/>
      <c r="E29" s="60"/>
    </row>
    <row r="31" spans="1:5" ht="24" customHeight="1" x14ac:dyDescent="0.2">
      <c r="A31" s="64" t="s">
        <v>431</v>
      </c>
      <c r="B31" s="60"/>
      <c r="C31" s="60"/>
      <c r="D31" s="60"/>
      <c r="E31" s="60"/>
    </row>
    <row r="32" spans="1:5" ht="21.95" customHeight="1" x14ac:dyDescent="0.2">
      <c r="A32" s="15" t="s">
        <v>422</v>
      </c>
      <c r="B32" s="80" t="s">
        <v>479</v>
      </c>
      <c r="C32" s="60"/>
      <c r="D32" s="60"/>
      <c r="E32" s="60"/>
    </row>
    <row r="33" spans="1:5" ht="204.75" customHeight="1" x14ac:dyDescent="0.2">
      <c r="A33" s="15" t="s">
        <v>423</v>
      </c>
      <c r="B33" s="80" t="s">
        <v>480</v>
      </c>
      <c r="C33" s="60"/>
      <c r="D33" s="60"/>
      <c r="E33" s="60"/>
    </row>
    <row r="34" spans="1:5" ht="21.95" customHeight="1" x14ac:dyDescent="0.2">
      <c r="A34" s="15" t="s">
        <v>424</v>
      </c>
      <c r="B34" s="80" t="s">
        <v>115</v>
      </c>
      <c r="C34" s="60"/>
      <c r="D34" s="60"/>
      <c r="E34" s="60"/>
    </row>
    <row r="35" spans="1:5" ht="21.95" customHeight="1" x14ac:dyDescent="0.2">
      <c r="A35" s="15" t="s">
        <v>425</v>
      </c>
      <c r="B35" s="80" t="s">
        <v>469</v>
      </c>
      <c r="C35" s="60"/>
      <c r="D35" s="60"/>
      <c r="E35" s="60"/>
    </row>
    <row r="36" spans="1:5" ht="21.95" customHeight="1" x14ac:dyDescent="0.2">
      <c r="A36" s="15" t="s">
        <v>426</v>
      </c>
      <c r="B36" s="80" t="s">
        <v>469</v>
      </c>
      <c r="C36" s="60"/>
      <c r="D36" s="60"/>
      <c r="E36" s="60"/>
    </row>
    <row r="37" spans="1:5" ht="33" customHeight="1" x14ac:dyDescent="0.2">
      <c r="A37" s="15" t="s">
        <v>427</v>
      </c>
      <c r="B37" s="80" t="s">
        <v>481</v>
      </c>
      <c r="C37" s="60"/>
      <c r="D37" s="60"/>
      <c r="E37" s="60"/>
    </row>
    <row r="38" spans="1:5" ht="33.75" customHeight="1" x14ac:dyDescent="0.2">
      <c r="A38" s="15" t="s">
        <v>428</v>
      </c>
      <c r="B38" s="80" t="s">
        <v>482</v>
      </c>
      <c r="C38" s="60"/>
      <c r="D38" s="60"/>
      <c r="E38" s="60"/>
    </row>
  </sheetData>
  <mergeCells count="34">
    <mergeCell ref="A1:E1"/>
    <mergeCell ref="B24:E24"/>
    <mergeCell ref="B5:E5"/>
    <mergeCell ref="B20:E20"/>
    <mergeCell ref="B7:E7"/>
    <mergeCell ref="A2:E2"/>
    <mergeCell ref="B11:E11"/>
    <mergeCell ref="A4:E4"/>
    <mergeCell ref="B8:E8"/>
    <mergeCell ref="B9:E9"/>
    <mergeCell ref="B6:E6"/>
    <mergeCell ref="B16:E16"/>
    <mergeCell ref="B25:E25"/>
    <mergeCell ref="B18:E18"/>
    <mergeCell ref="B27:E27"/>
    <mergeCell ref="A22:E22"/>
    <mergeCell ref="B17:E17"/>
    <mergeCell ref="B23:E23"/>
    <mergeCell ref="B38:E38"/>
    <mergeCell ref="B29:E29"/>
    <mergeCell ref="A13:E13"/>
    <mergeCell ref="B19:E19"/>
    <mergeCell ref="B10:E10"/>
    <mergeCell ref="B28:E28"/>
    <mergeCell ref="A31:E31"/>
    <mergeCell ref="B34:E34"/>
    <mergeCell ref="B37:E37"/>
    <mergeCell ref="B15:E15"/>
    <mergeCell ref="B33:E33"/>
    <mergeCell ref="B14:E14"/>
    <mergeCell ref="B36:E36"/>
    <mergeCell ref="B32:E32"/>
    <mergeCell ref="B26:E26"/>
    <mergeCell ref="B35:E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10</vt:i4>
      </vt:variant>
    </vt:vector>
  </HeadingPairs>
  <TitlesOfParts>
    <vt:vector size="10" baseType="lpstr">
      <vt:lpstr>Project Brief</vt:lpstr>
      <vt:lpstr>Sheet1</vt:lpstr>
      <vt:lpstr>Raw Sales Data</vt:lpstr>
      <vt:lpstr>Product Master</vt:lpstr>
      <vt:lpstr>Employee Master</vt:lpstr>
      <vt:lpstr>Phase 1-2 Workspace</vt:lpstr>
      <vt:lpstr>Phase 3 Workspace</vt:lpstr>
      <vt:lpstr>Executive Dashboard</vt:lpstr>
      <vt:lpstr>Dashboard</vt:lpstr>
      <vt:lpstr>AI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Mudasir Ahmed</cp:lastModifiedBy>
  <dcterms:created xsi:type="dcterms:W3CDTF">2026-08-25T10:55:32Z</dcterms:created>
  <dcterms:modified xsi:type="dcterms:W3CDTF">2026-07-12T18:30:21Z</dcterms:modified>
</cp:coreProperties>
</file>