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3.xml" ContentType="application/vnd.ms-office.webextension+xml"/>
  <Override PartName="/xl/webextensions/webextension2.xml" ContentType="application/vnd.ms-office.webextension+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mran Pc\Downloads\"/>
    </mc:Choice>
  </mc:AlternateContent>
  <xr:revisionPtr revIDLastSave="0" documentId="13_ncr:1000001_{534E4FE6-20A2-9A41-826F-24660E55F5FA}" xr6:coauthVersionLast="47" xr6:coauthVersionMax="47" xr10:uidLastSave="{00000000-0000-0000-0000-000000000000}"/>
  <bookViews>
    <workbookView xWindow="-120" yWindow="-120" windowWidth="24240" windowHeight="13140" tabRatio="500" activeTab="5" xr2:uid="{00000000-000D-0000-FFFF-FFFF00000000}"/>
  </bookViews>
  <sheets>
    <sheet name="Sales Data" sheetId="1" r:id="rId1"/>
    <sheet name="SUMIFS Practice" sheetId="2" r:id="rId2"/>
    <sheet name="COUNTIFS Practice" sheetId="3" r:id="rId3"/>
    <sheet name="XLOOKUP Concept" sheetId="4" r:id="rId4"/>
    <sheet name="Orbitex Callback" sheetId="5" r:id="rId5"/>
    <sheet name="AI Audit" sheetId="6" r:id="rId6"/>
  </sheets>
  <definedNames>
    <definedName name="_xlnm._FilterDatabase" localSheetId="0" hidden="1">'Sales Data'!$J$3:$J$203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3" l="1"/>
  <c r="D14" i="2"/>
  <c r="D15" i="3"/>
  <c r="D14" i="3"/>
  <c r="D10" i="3"/>
  <c r="D9" i="3"/>
  <c r="D8" i="3"/>
  <c r="D7" i="3"/>
  <c r="D6" i="3"/>
  <c r="D16" i="2"/>
  <c r="D15" i="2"/>
  <c r="D10" i="2"/>
  <c r="D9" i="2"/>
  <c r="D8" i="2"/>
  <c r="D7" i="2"/>
  <c r="D6" i="2"/>
  <c r="E15" i="3"/>
  <c r="E14" i="3"/>
  <c r="E10" i="3"/>
  <c r="E9" i="3"/>
  <c r="E8" i="3"/>
  <c r="E7" i="3"/>
  <c r="E6" i="3"/>
  <c r="E16" i="2"/>
  <c r="E14" i="2"/>
  <c r="E10" i="2"/>
  <c r="E9" i="2"/>
  <c r="E8" i="2"/>
  <c r="E7" i="2"/>
  <c r="E6" i="2"/>
</calcChain>
</file>

<file path=xl/sharedStrings.xml><?xml version="1.0" encoding="utf-8"?>
<sst xmlns="http://schemas.openxmlformats.org/spreadsheetml/2006/main" count="1797" uniqueCount="493">
  <si>
    <t>NEXACORE RETAIL — Month 2 Week 5 Dataset (Clean — 200 Rows)</t>
  </si>
  <si>
    <t>Same clean structure as Week 4. This week you learn SUMIFS, COUNTIFS, and XLOOKUP — the tools that answer multi-condition business questions instantly.</t>
  </si>
  <si>
    <t>Transaction ID</t>
  </si>
  <si>
    <t>Date</t>
  </si>
  <si>
    <t>Month</t>
  </si>
  <si>
    <t>Sales Rep</t>
  </si>
  <si>
    <t>Region</t>
  </si>
  <si>
    <t>Product Category</t>
  </si>
  <si>
    <t>Product</t>
  </si>
  <si>
    <t>Units Sold</t>
  </si>
  <si>
    <t>Unit Price ($)</t>
  </si>
  <si>
    <t>Revenue ($)</t>
  </si>
  <si>
    <t>Customer Segment</t>
  </si>
  <si>
    <t>TXN-001</t>
  </si>
  <si>
    <t>2026-02-02</t>
  </si>
  <si>
    <t>February</t>
  </si>
  <si>
    <t>Robert Brown</t>
  </si>
  <si>
    <t>South</t>
  </si>
  <si>
    <t>Clothing</t>
  </si>
  <si>
    <t>Levi Jeans</t>
  </si>
  <si>
    <t>Standard</t>
  </si>
  <si>
    <t>TXN-002</t>
  </si>
  <si>
    <t>2026-03-03</t>
  </si>
  <si>
    <t>March</t>
  </si>
  <si>
    <t>Chris Anderson</t>
  </si>
  <si>
    <t>East</t>
  </si>
  <si>
    <t>Home Appliances</t>
  </si>
  <si>
    <t>Instant Pot</t>
  </si>
  <si>
    <t>Budget</t>
  </si>
  <si>
    <t>TXN-003</t>
  </si>
  <si>
    <t>2026-04-04</t>
  </si>
  <si>
    <t>April</t>
  </si>
  <si>
    <t>Amanda Thomas</t>
  </si>
  <si>
    <t>West</t>
  </si>
  <si>
    <t>Beauty</t>
  </si>
  <si>
    <t>Tatcha Serum</t>
  </si>
  <si>
    <t>Premium</t>
  </si>
  <si>
    <t>TXN-004</t>
  </si>
  <si>
    <t>2026-05-05</t>
  </si>
  <si>
    <t>May</t>
  </si>
  <si>
    <t>Sarah Connor</t>
  </si>
  <si>
    <t>North</t>
  </si>
  <si>
    <t>Sports</t>
  </si>
  <si>
    <t>TRX System</t>
  </si>
  <si>
    <t>TXN-005</t>
  </si>
  <si>
    <t>2026-06-06</t>
  </si>
  <si>
    <t>June</t>
  </si>
  <si>
    <t>Lisa Martinez</t>
  </si>
  <si>
    <t>Electronics</t>
  </si>
  <si>
    <t>Sony Headphones</t>
  </si>
  <si>
    <t>TXN-006</t>
  </si>
  <si>
    <t>2026-01-07</t>
  </si>
  <si>
    <t>January</t>
  </si>
  <si>
    <t>David Lee</t>
  </si>
  <si>
    <t>Nike Hoodie</t>
  </si>
  <si>
    <t>TXN-007</t>
  </si>
  <si>
    <t>2026-02-08</t>
  </si>
  <si>
    <t>Joshua Jackson</t>
  </si>
  <si>
    <t>KitchenAid Mixer</t>
  </si>
  <si>
    <t>TXN-008</t>
  </si>
  <si>
    <t>2026-03-09</t>
  </si>
  <si>
    <t>Mike Johnson</t>
  </si>
  <si>
    <t>MAC Lipstick</t>
  </si>
  <si>
    <t>TXN-009</t>
  </si>
  <si>
    <t>2026-04-10</t>
  </si>
  <si>
    <t>Emily Davis</t>
  </si>
  <si>
    <t>Yeti Cooler</t>
  </si>
  <si>
    <t>TXN-010</t>
  </si>
  <si>
    <t>2026-05-11</t>
  </si>
  <si>
    <t>Jennifer Taylor</t>
  </si>
  <si>
    <t>Dell Laptop</t>
  </si>
  <si>
    <t>TXN-011</t>
  </si>
  <si>
    <t>2026-06-12</t>
  </si>
  <si>
    <t>Ashley White</t>
  </si>
  <si>
    <t>Ralph Lauren Polo</t>
  </si>
  <si>
    <t>TXN-012</t>
  </si>
  <si>
    <t>2026-01-13</t>
  </si>
  <si>
    <t>James Wilson</t>
  </si>
  <si>
    <t>Dyson Vacuum</t>
  </si>
  <si>
    <t>TXN-013</t>
  </si>
  <si>
    <t>2026-02-14</t>
  </si>
  <si>
    <t>Dior Perfume</t>
  </si>
  <si>
    <t>TXN-014</t>
  </si>
  <si>
    <t>2026-03-15</t>
  </si>
  <si>
    <t>Garmin Watch</t>
  </si>
  <si>
    <t>TXN-015</t>
  </si>
  <si>
    <t>2026-04-16</t>
  </si>
  <si>
    <t>AirPods Pro</t>
  </si>
  <si>
    <t>TXN-016</t>
  </si>
  <si>
    <t>2026-05-17</t>
  </si>
  <si>
    <t>Jordan Sneakers</t>
  </si>
  <si>
    <t>TXN-017</t>
  </si>
  <si>
    <t>2026-06-18</t>
  </si>
  <si>
    <t>Weber Grill</t>
  </si>
  <si>
    <t>TXN-018</t>
  </si>
  <si>
    <t>2026-01-19</t>
  </si>
  <si>
    <t>Fenty Foundation</t>
  </si>
  <si>
    <t>TXN-019</t>
  </si>
  <si>
    <t>2026-02-20</t>
  </si>
  <si>
    <t>Bowflex Dumbbells</t>
  </si>
  <si>
    <t>TXN-020</t>
  </si>
  <si>
    <t>2026-03-21</t>
  </si>
  <si>
    <t>Samsung TV</t>
  </si>
  <si>
    <t>TXN-021</t>
  </si>
  <si>
    <t>2026-04-22</t>
  </si>
  <si>
    <t>Zara Dress</t>
  </si>
  <si>
    <t>TXN-022</t>
  </si>
  <si>
    <t>2026-05-23</t>
  </si>
  <si>
    <t>Keurig Coffee</t>
  </si>
  <si>
    <t>TXN-023</t>
  </si>
  <si>
    <t>2026-06-24</t>
  </si>
  <si>
    <t>Charlotte Tilbury</t>
  </si>
  <si>
    <t>TXN-024</t>
  </si>
  <si>
    <t>2026-01-25</t>
  </si>
  <si>
    <t>Peloton Bike</t>
  </si>
  <si>
    <t>TXN-025</t>
  </si>
  <si>
    <t>2026-02-26</t>
  </si>
  <si>
    <t>MacBook Pro</t>
  </si>
  <si>
    <t>TXN-026</t>
  </si>
  <si>
    <t>2026-03-27</t>
  </si>
  <si>
    <t>Adidas Tracksuit</t>
  </si>
  <si>
    <t>TXN-027</t>
  </si>
  <si>
    <t>2026-04-28</t>
  </si>
  <si>
    <t>Ninja Blender</t>
  </si>
  <si>
    <t>TXN-028</t>
  </si>
  <si>
    <t>2026-05-01</t>
  </si>
  <si>
    <t>SK-II Essence</t>
  </si>
  <si>
    <t>TXN-029</t>
  </si>
  <si>
    <t>2026-06-02</t>
  </si>
  <si>
    <t>Fitbit Tracker</t>
  </si>
  <si>
    <t>TXN-030</t>
  </si>
  <si>
    <t>2026-01-03</t>
  </si>
  <si>
    <t>iPhone 15</t>
  </si>
  <si>
    <t>TXN-031</t>
  </si>
  <si>
    <t>2026-02-04</t>
  </si>
  <si>
    <t>TXN-032</t>
  </si>
  <si>
    <t>2026-03-05</t>
  </si>
  <si>
    <t>TXN-033</t>
  </si>
  <si>
    <t>2026-04-06</t>
  </si>
  <si>
    <t>TXN-034</t>
  </si>
  <si>
    <t>2026-05-07</t>
  </si>
  <si>
    <t>TXN-035</t>
  </si>
  <si>
    <t>2026-06-08</t>
  </si>
  <si>
    <t>TXN-036</t>
  </si>
  <si>
    <t>2026-01-09</t>
  </si>
  <si>
    <t>TXN-037</t>
  </si>
  <si>
    <t>2026-02-10</t>
  </si>
  <si>
    <t>TXN-038</t>
  </si>
  <si>
    <t>2026-03-11</t>
  </si>
  <si>
    <t>TXN-039</t>
  </si>
  <si>
    <t>2026-04-12</t>
  </si>
  <si>
    <t>TXN-040</t>
  </si>
  <si>
    <t>2026-05-13</t>
  </si>
  <si>
    <t>TXN-041</t>
  </si>
  <si>
    <t>2026-06-14</t>
  </si>
  <si>
    <t>TXN-042</t>
  </si>
  <si>
    <t>2026-01-15</t>
  </si>
  <si>
    <t>TXN-043</t>
  </si>
  <si>
    <t>2026-02-16</t>
  </si>
  <si>
    <t>TXN-044</t>
  </si>
  <si>
    <t>2026-03-17</t>
  </si>
  <si>
    <t>TXN-045</t>
  </si>
  <si>
    <t>2026-04-18</t>
  </si>
  <si>
    <t>TXN-046</t>
  </si>
  <si>
    <t>2026-05-19</t>
  </si>
  <si>
    <t>TXN-047</t>
  </si>
  <si>
    <t>2026-06-20</t>
  </si>
  <si>
    <t>TXN-048</t>
  </si>
  <si>
    <t>2026-01-21</t>
  </si>
  <si>
    <t>TXN-049</t>
  </si>
  <si>
    <t>2026-02-22</t>
  </si>
  <si>
    <t>TXN-050</t>
  </si>
  <si>
    <t>2026-03-23</t>
  </si>
  <si>
    <t>TXN-051</t>
  </si>
  <si>
    <t>2026-04-24</t>
  </si>
  <si>
    <t>TXN-052</t>
  </si>
  <si>
    <t>2026-05-25</t>
  </si>
  <si>
    <t>TXN-053</t>
  </si>
  <si>
    <t>2026-06-26</t>
  </si>
  <si>
    <t>TXN-054</t>
  </si>
  <si>
    <t>2026-01-27</t>
  </si>
  <si>
    <t>TXN-055</t>
  </si>
  <si>
    <t>2026-02-28</t>
  </si>
  <si>
    <t>TXN-056</t>
  </si>
  <si>
    <t>2026-03-01</t>
  </si>
  <si>
    <t>TXN-057</t>
  </si>
  <si>
    <t>2026-04-02</t>
  </si>
  <si>
    <t>TXN-058</t>
  </si>
  <si>
    <t>2026-05-03</t>
  </si>
  <si>
    <t>TXN-059</t>
  </si>
  <si>
    <t>2026-06-04</t>
  </si>
  <si>
    <t>TXN-060</t>
  </si>
  <si>
    <t>2026-01-05</t>
  </si>
  <si>
    <t>TXN-061</t>
  </si>
  <si>
    <t>2026-02-06</t>
  </si>
  <si>
    <t>TXN-062</t>
  </si>
  <si>
    <t>2026-03-07</t>
  </si>
  <si>
    <t>TXN-063</t>
  </si>
  <si>
    <t>2026-04-08</t>
  </si>
  <si>
    <t>TXN-064</t>
  </si>
  <si>
    <t>2026-05-09</t>
  </si>
  <si>
    <t>TXN-065</t>
  </si>
  <si>
    <t>2026-06-10</t>
  </si>
  <si>
    <t>TXN-066</t>
  </si>
  <si>
    <t>2026-01-11</t>
  </si>
  <si>
    <t>TXN-067</t>
  </si>
  <si>
    <t>2026-02-12</t>
  </si>
  <si>
    <t>TXN-068</t>
  </si>
  <si>
    <t>2026-03-13</t>
  </si>
  <si>
    <t>TXN-069</t>
  </si>
  <si>
    <t>2026-04-14</t>
  </si>
  <si>
    <t>TXN-070</t>
  </si>
  <si>
    <t>2026-05-15</t>
  </si>
  <si>
    <t>TXN-071</t>
  </si>
  <si>
    <t>2026-06-16</t>
  </si>
  <si>
    <t>TXN-072</t>
  </si>
  <si>
    <t>2026-01-17</t>
  </si>
  <si>
    <t>TXN-073</t>
  </si>
  <si>
    <t>2026-02-18</t>
  </si>
  <si>
    <t>TXN-074</t>
  </si>
  <si>
    <t>2026-03-19</t>
  </si>
  <si>
    <t>TXN-075</t>
  </si>
  <si>
    <t>2026-04-20</t>
  </si>
  <si>
    <t>TXN-076</t>
  </si>
  <si>
    <t>2026-05-21</t>
  </si>
  <si>
    <t>TXN-077</t>
  </si>
  <si>
    <t>2026-06-22</t>
  </si>
  <si>
    <t>TXN-078</t>
  </si>
  <si>
    <t>2026-01-23</t>
  </si>
  <si>
    <t>TXN-079</t>
  </si>
  <si>
    <t>2026-02-24</t>
  </si>
  <si>
    <t>TXN-080</t>
  </si>
  <si>
    <t>2026-03-25</t>
  </si>
  <si>
    <t>TXN-081</t>
  </si>
  <si>
    <t>2026-04-26</t>
  </si>
  <si>
    <t>TXN-082</t>
  </si>
  <si>
    <t>2026-05-27</t>
  </si>
  <si>
    <t>TXN-083</t>
  </si>
  <si>
    <t>2026-06-28</t>
  </si>
  <si>
    <t>TXN-084</t>
  </si>
  <si>
    <t>2026-01-01</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</si>
  <si>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</si>
  <si>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</si>
  <si>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</si>
  <si>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</si>
  <si>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</si>
  <si>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</si>
  <si>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</si>
  <si>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</si>
  <si>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</si>
  <si>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</si>
  <si>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</si>
  <si>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</si>
  <si>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</si>
  <si>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</si>
  <si>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</si>
  <si>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</si>
  <si>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</si>
  <si>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</si>
  <si>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</si>
  <si>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</si>
  <si>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</si>
  <si>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</si>
  <si>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</si>
  <si>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</si>
  <si>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</si>
  <si>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</si>
  <si>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</si>
  <si>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</si>
  <si>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</si>
  <si>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</si>
  <si>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</si>
  <si>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</si>
  <si>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</si>
  <si>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</si>
  <si>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</si>
  <si>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</si>
  <si>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</si>
  <si>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</si>
  <si>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</si>
  <si>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</si>
  <si>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</si>
  <si>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</si>
  <si>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</si>
  <si>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</si>
  <si>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</si>
  <si>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</si>
  <si>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</si>
  <si>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</si>
  <si>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</si>
  <si>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</si>
  <si>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</si>
  <si>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</si>
  <si>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</si>
  <si>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</si>
  <si>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</si>
  <si>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</si>
  <si>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</si>
  <si>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</si>
  <si>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</si>
  <si>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</si>
  <si>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</si>
  <si>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</si>
  <si>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</si>
  <si>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</si>
  <si>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</si>
  <si>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</si>
  <si>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</si>
  <si>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</si>
  <si>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</si>
  <si>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</si>
  <si>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</si>
  <si>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</si>
  <si>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</si>
  <si>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</si>
  <si>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</si>
  <si>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</si>
  <si>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</si>
  <si>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</si>
  <si>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</si>
  <si>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</si>
  <si>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</si>
  <si>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</si>
  <si>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</si>
  <si>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</si>
  <si>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</si>
  <si>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</si>
  <si>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</si>
  <si>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</si>
  <si>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</si>
  <si>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</si>
  <si>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</si>
  <si>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</si>
  <si>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</si>
  <si>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</si>
  <si>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</si>
  <si>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</si>
  <si>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</si>
  <si>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</si>
  <si>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</si>
  <si>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</si>
  <si>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</si>
  <si>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</si>
  <si>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</si>
  <si>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</si>
  <si>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</si>
  <si>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</si>
  <si>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</si>
  <si>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</si>
  <si>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</si>
  <si>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</si>
  <si>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</si>
  <si>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</si>
  <si>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</si>
  <si>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</si>
  <si>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</si>
  <si>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</si>
  <si>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Week 5 — SUMIFS Practice</t>
  </si>
  <si>
    <t>SUMIFS sums values that meet MULTIPLE conditions at once. Syntax: =SUMIFS(sum_range, criteria_range1, criteria1, criteria_range2, criteria2, ...)</t>
  </si>
  <si>
    <t>SECTION 1 — Two Condition SUMIFS</t>
  </si>
  <si>
    <t>#</t>
  </si>
  <si>
    <t>Question</t>
  </si>
  <si>
    <t>Your Formula</t>
  </si>
  <si>
    <t>Result</t>
  </si>
  <si>
    <t>Hint</t>
  </si>
  <si>
    <t>Q1</t>
  </si>
  <si>
    <t>Q2</t>
  </si>
  <si>
    <t>Total revenue from Electronics category sold by James Wilson</t>
  </si>
  <si>
    <t>Q3</t>
  </si>
  <si>
    <t>Total units sold in South region for Premium customers</t>
  </si>
  <si>
    <t>Q4</t>
  </si>
  <si>
    <t>Total revenue from Clothing category in East region</t>
  </si>
  <si>
    <t>Q5</t>
  </si>
  <si>
    <t>Total revenue where units sold is greater than 1 AND category is Sports</t>
  </si>
  <si>
    <t>SECTION 2 — Three Condition SUMIFS (real business complexity)</t>
  </si>
  <si>
    <t>Q6</t>
  </si>
  <si>
    <t>Total revenue from North region, Electronics category, Premium segment</t>
  </si>
  <si>
    <t>Q7</t>
  </si>
  <si>
    <t>Total revenue from South or East region in February for Sports category</t>
  </si>
  <si>
    <t>SUMIFS(Sales Data!J4:J203, Sales Data!F4:F203,"Sports", Sales Data!C4:C203,"February") — Note: SUMIFS cannot do OR across one field directly, add two SUMIFS together for South+East</t>
  </si>
  <si>
    <t>Q8</t>
  </si>
  <si>
    <t>Total revenue where unit price is between 100 and 500</t>
  </si>
  <si>
    <t>Week 5 — COUNTIFS Practice</t>
  </si>
  <si>
    <t>COUNTIFS counts rows that meet MULTIPLE conditions at once. Syntax: =COUNTIFS(criteria_range1, criteria1, criteria_range2, criteria2, ...)</t>
  </si>
  <si>
    <t>SECTION 1 — Two Condition COUNTIFS</t>
  </si>
  <si>
    <t>How many transactions came from North region in Electronics category?</t>
  </si>
  <si>
    <t>How many Premium segment orders happened in January?</t>
  </si>
  <si>
    <t>How many orders did James Wilson close with more than 1 unit sold?</t>
  </si>
  <si>
    <t>How many Beauty category transactions had revenue below 50?</t>
  </si>
  <si>
    <t>How many transactions in South region were Standard segment?</t>
  </si>
  <si>
    <t>SECTION 2 — COUNTIFS + IF combined (business flagging)</t>
  </si>
  <si>
    <t>Is any single sales rep responsible for more than 20 transactions? Test on James Wilson</t>
  </si>
  <si>
    <t>Flag whether Electronics category has more than 30 transactions total</t>
  </si>
  <si>
    <t>Week 5 — XLOOKUP (Concept + Practice in Real Excel)</t>
  </si>
  <si>
    <t>XLOOKUP is Excel's newest and most powerful lookup function. This sheet explains it — practice it directly in your Excel app since it requires Excel 365 or Excel 2021+.</t>
  </si>
  <si>
    <t>WHY XLOOKUP EXISTS</t>
  </si>
  <si>
    <t>VLOOKUP can only search the first column and only return values to the right.</t>
  </si>
  <si>
    <t>INDEX MATCH fixes both problems but requires two functions working together.</t>
  </si>
  <si>
    <t>XLOOKUP does everything INDEX MATCH does but in ONE single function.</t>
  </si>
  <si>
    <t>XLOOKUP also has a built-in 'not found' message — no need for IFERROR wrapper.</t>
  </si>
  <si>
    <t>XLOOKUP can search bottom to top or top to bottom — a search direction option VLOOKUP never had.</t>
  </si>
  <si>
    <t>XLOOKUP SYNTAX</t>
  </si>
  <si>
    <t>XLOOKUP(lookup_value, lookup_array, return_array, [if_not_found], [match_mode], [search_mode])</t>
  </si>
  <si>
    <t>Argument</t>
  </si>
  <si>
    <t>What it does</t>
  </si>
  <si>
    <t>Example</t>
  </si>
  <si>
    <t>lookup_value</t>
  </si>
  <si>
    <t>What you are searching for</t>
  </si>
  <si>
    <t>"Nike Hoodie"</t>
  </si>
  <si>
    <t>lookup_array</t>
  </si>
  <si>
    <t>The single column to search in</t>
  </si>
  <si>
    <t>'Sales Data'!G4:G203</t>
  </si>
  <si>
    <t>return_array</t>
  </si>
  <si>
    <t>The single column to return from — can be ANY column, not just right side</t>
  </si>
  <si>
    <t>'Sales Data'!J4:J203</t>
  </si>
  <si>
    <t>if_not_found</t>
  </si>
  <si>
    <t>What to show if no match — replaces the need for IFERROR</t>
  </si>
  <si>
    <t>"Not Found"</t>
  </si>
  <si>
    <t>match_mode</t>
  </si>
  <si>
    <t>Optional — 0 for exact match (default)</t>
  </si>
  <si>
    <t>0</t>
  </si>
  <si>
    <t>search_mode</t>
  </si>
  <si>
    <t>Optional — 1 for first to last (default)</t>
  </si>
  <si>
    <t>1</t>
  </si>
  <si>
    <t>PRACTICE TASKS — Type these directly in your Excel app on the Sales Data sheet</t>
  </si>
  <si>
    <t>XT1: In an empty cell type: =XLOOKUP("iPhone 15",G4:G203,J4:J203,"Not Found") — this returns the first revenue value where product is iPhone 15.</t>
  </si>
  <si>
    <t>XT2: Try XLOOKUP searching for a product that does not exist like "iPhone 20". Confirm it returns your 'Not Found' message instead of an error.</t>
  </si>
  <si>
    <t>XT3: Compare: write the same lookup using VLOOKUP with IFERROR, then using INDEX MATCH, then using XLOOKUP. Time yourself. Which was fastest to write?</t>
  </si>
  <si>
    <t>XT4: Use XLOOKUP to look LEFT — return the Sales Rep name by searching for a Transaction ID. VLOOKUP cannot do this without rearranging columns.</t>
  </si>
  <si>
    <t>Orbitex Callback — What SUMIFS and COUNTIFS Would Have Solved Instantly</t>
  </si>
  <si>
    <t>Remember Orbitex in Week 2? Several problems that needed manual filtering and multiple IF formulas back then are ONE formula now. This is the payoff of learning new tools.</t>
  </si>
  <si>
    <t>Then (Week 2)</t>
  </si>
  <si>
    <t>Now (Week 5)</t>
  </si>
  <si>
    <t>The Task</t>
  </si>
  <si>
    <t>Manually filter by city, then filter by category, then count rows one by one</t>
  </si>
  <si>
    <t>COUNTIFS(Region, "North", Category, "Electronics")</t>
  </si>
  <si>
    <t>How many North region Electronics orders exist?</t>
  </si>
  <si>
    <t>Filter by return status, then filter by payment method, then SUM manually</t>
  </si>
  <si>
    <t>SUMIFS(Revenue, Return, "Yes", Payment, "Credit Card")</t>
  </si>
  <si>
    <t>Total revenue lost from credit card returns</t>
  </si>
  <si>
    <t>Write separate IF flags for each condition, then count each flag type manually</t>
  </si>
  <si>
    <t>COUNTIFS(Category, "Beauty", Revenue, "&lt;50")</t>
  </si>
  <si>
    <t>How many low value Beauty transactions exist?</t>
  </si>
  <si>
    <t>Multiple nested IF statements checking region AND category AND date range</t>
  </si>
  <si>
    <t>SUMIFS(Revenue, Region, "South", Category, "Sports", Month, "February")</t>
  </si>
  <si>
    <t>Total February Sports revenue in South region</t>
  </si>
  <si>
    <t>This is what learning compounds into. Every new tool makes the last month's hardest problems trivial. That is the entire point of the roadmap.</t>
  </si>
  <si>
    <t>Week 5 — AI Audit Log</t>
  </si>
  <si>
    <t>Give each SUMIFS/COUNTIFS/XLOOKUP task to AI first. Record what it produced and what it got wrong.</t>
  </si>
  <si>
    <t>AUDIT 1 — SUMIFS with two conditions</t>
  </si>
  <si>
    <t>Task given to AI</t>
  </si>
  <si>
    <t>Exact formula AI produced</t>
  </si>
  <si>
    <t>Was AI correct? Yes / No</t>
  </si>
  <si>
    <t>If No — what was wrong</t>
  </si>
  <si>
    <t>Error type: Range / Logic / Syntax / Conceptual</t>
  </si>
  <si>
    <t>How I caught it</t>
  </si>
  <si>
    <t>What this taught me</t>
  </si>
  <si>
    <t>AUDIT 2 — SUMIFS with three conditions</t>
  </si>
  <si>
    <t>AUDIT 3 — COUNTIFS business flagging</t>
  </si>
  <si>
    <t>AUDIT 4 — XLOOKUP vs VLOOKUP comparison</t>
  </si>
  <si>
    <t>SUMIFS('Sales Data'!J4:J203,'Sales Data'!E4:E203,"North",'Sales Data'!C4:C203,"January")</t>
  </si>
  <si>
    <t>SUMIFS('Sales Data'!J4:J203,'Sales Data'!F4:F203,"Electronics",'Sales Data'!D4:D203,"James Wilson")</t>
  </si>
  <si>
    <t>SUMIFS('Sales Data'!H4:H203,'Sales Data'!E4:E203,"South",'Sales Data'!K4:K203,"Premium")</t>
  </si>
  <si>
    <t>SUMIFS('Sales Data'!J4:J203,'Sales Data'!F4:F203,"Clothing",'Sales Data'!E4:E203,"East")</t>
  </si>
  <si>
    <t>SUMIFS('Sales Data'!J4:J203,'Sales Data'!H4:H203,"&gt;"&amp;'Sales Data'!H4,'Sales Data'!F4:F203,"Sports")</t>
  </si>
  <si>
    <t>SUMIFS('Sales Data'!J4:J203,'Sales Data'!E4:E203,"North",'Sales Data'!F4:F203,"Electronics",'Sales Data'!K4:K203,"Premium")</t>
  </si>
  <si>
    <t>SUMIFS('Sales Data'!J4:J203,'Sales Data'!F4:F203,"Sports",'Sales Data'!E4:E203,"East",'Sales Data'!C4:C203,"February") + SUMIFS('Sales Data'!J4:J203,'Sales Data'!F4:F203,"Sports",'Sales Data'!E4:E203,"South",'Sales Data'!C4:C203,"February")</t>
  </si>
  <si>
    <t>SUMIFS('Sales Data'!J4:J203,'Sales Data'!I4:I203,"&gt;100",'Sales Data'!I4:I203,"&lt;500")</t>
  </si>
  <si>
    <t>COUNTIFS('Sales Data'!E4:E203,"North",'Sales Data'!F4:F203,"Electronics")</t>
  </si>
  <si>
    <t>COUNTIFS('Sales Data'!K4:K203,"Premium",'Sales Data'!C4:C203,"January")</t>
  </si>
  <si>
    <t>COUNTIFS('Sales Data'!D4:D203,"James Wilson",'Sales Data'!H4:H203,"&gt;"&amp;'Sales Data'!H4)</t>
  </si>
  <si>
    <t>COUNTIFS('Sales Data'!F4:F203,"Beauty",'Sales Data'!J4:J203,"&lt;"&amp;50)</t>
  </si>
  <si>
    <t>COUNTIFS('Sales Data'!E4:E203,"South",'Sales Data'!K4:K203,"Standard")</t>
  </si>
  <si>
    <t>IF(COUNTIFS('Sales Data'!D4:D203,"James Wilson")&gt;20,"High","Normal")</t>
  </si>
  <si>
    <t>IF(COUNTIFS('Sales Data'!F4:F203,"Electronics")&gt;30,"High Volume Category","Low Volume Category")</t>
  </si>
  <si>
    <t>returned 999</t>
  </si>
  <si>
    <t>used xlookup's if not found logic</t>
  </si>
  <si>
    <t>xlookup was fastest</t>
  </si>
  <si>
    <t>proved</t>
  </si>
  <si>
    <t>=SUMIFS(J4:J203,F4:F203,"Electronics",D4:D203,"James Wilson")</t>
  </si>
  <si>
    <t>Yes</t>
  </si>
  <si>
    <t>ai understands the task's logic better when it is linked with excel file that it can directly access the table and apply logics and formulas</t>
  </si>
  <si>
    <t>=SUMIFS(J4:J203,E4:E203,"North",F4:F203,"Electronics",K4:K203,"Premium")</t>
  </si>
  <si>
    <t>=IF(COUNTIFS('Sales Data'!D4:D203,"James Wilson")&gt;20,"High","Normal")</t>
  </si>
  <si>
    <t>use vlookup for Iphone20 return the unit price return Not found if error and on the down cell use xlookup for Iphone20 return the unit price return not found if error</t>
  </si>
  <si>
    <t>=IFERROR(VLOOKUP("Iphone20",F4:I203,4,FALSE),"Not Found")&amp;XLOOKUP("Iphone20",G4:G203,I4:I203,"Not Found",0)</t>
  </si>
  <si>
    <t>yes</t>
  </si>
  <si>
    <t>probably yes</t>
  </si>
  <si>
    <t>the formula syntax was right that it can detect the return we want but one more column was included</t>
  </si>
  <si>
    <t>syntax</t>
  </si>
  <si>
    <t>looking at range it was included one extra column</t>
  </si>
  <si>
    <t>i guess ai probably checks the true or false first then put the formula woth syntax to prove it so if the return was false it just put the syntax in formula that will return the false anything can be included or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</si>
</sst>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3"/>
      <color rgb="FFFFFFFF"/>
      <name val="Arial"/>
      <charset val="1"/>
    </font>
    <font>
      <i/>
      <sz val="9"/>
      <color rgb="FF1A1A1A"/>
      <name val="Arial"/>
      <charset val="1"/>
    </font>
    <font>
      <b/>
      <sz val="9"/>
      <color rgb="FFFFFFFF"/>
      <name val="Arial"/>
      <charset val="1"/>
    </font>
    <font>
      <sz val="9"/>
      <color rgb="FF1A1A1A"/>
      <name val="Arial"/>
      <charset val="1"/>
    </font>
    <font>
      <b/>
      <sz val="9"/>
      <color rgb="FF1A2B4A"/>
      <name val="Arial"/>
      <charset val="1"/>
    </font>
    <font>
      <b/>
      <sz val="9"/>
      <color rgb="FF1A1A1A"/>
      <name val="Arial"/>
      <charset val="1"/>
    </font>
    <font>
      <i/>
      <sz val="8"/>
      <color rgb="FFAAAAAA"/>
      <name val="Arial"/>
      <charset val="1"/>
    </font>
    <font>
      <i/>
      <sz val="7"/>
      <color rgb="FF999999"/>
      <name val="Arial"/>
      <charset val="1"/>
    </font>
    <font>
      <sz val="9"/>
      <color rgb="FF7B2D00"/>
      <name val="Arial"/>
      <charset val="1"/>
    </font>
    <font>
      <b/>
      <sz val="10"/>
      <color rgb="FF1A2B4A"/>
      <name val="Arial"/>
      <charset val="1"/>
    </font>
    <font>
      <i/>
      <sz val="9"/>
      <color rgb="FF1A5C2A"/>
      <name val="Arial"/>
      <charset val="1"/>
    </font>
    <font>
      <i/>
      <sz val="8"/>
      <color rgb="FF791F1F"/>
      <name val="Arial"/>
      <charset val="1"/>
    </font>
    <font>
      <sz val="8"/>
      <color rgb="FF065F46"/>
      <name val="Arial"/>
      <charset val="1"/>
    </font>
    <font>
      <sz val="8"/>
      <color rgb="FF1A1A1A"/>
      <name val="Arial"/>
      <charset val="1"/>
    </font>
    <font>
      <b/>
      <sz val="9"/>
      <name val="Arial"/>
      <charset val="1"/>
    </font>
    <font>
      <i/>
      <sz val="8"/>
      <color rgb="FFAAAAAA"/>
      <name val="Arial"/>
      <family val="2"/>
    </font>
    <font>
      <sz val="9"/>
      <color rgb="FF1A1A1A"/>
      <name val="Arial"/>
      <family val="2"/>
    </font>
  </fonts>
  <fills count="12">
    <fill>
      <patternFill patternType="none"/>
    </fill>
    <fill>
      <patternFill patternType="gray125"/>
    </fill>
    <fill>
      <patternFill patternType="solid">
        <fgColor rgb="FF1A2B4A"/>
        <bgColor rgb="FF003366"/>
      </patternFill>
    </fill>
    <fill>
      <patternFill patternType="solid">
        <fgColor rgb="FFD6E4F7"/>
        <bgColor rgb="FFE8DFF5"/>
      </patternFill>
    </fill>
    <fill>
      <patternFill patternType="solid">
        <fgColor rgb="FF2E5FA3"/>
        <bgColor rgb="FF3366FF"/>
      </patternFill>
    </fill>
    <fill>
      <patternFill patternType="solid">
        <fgColor rgb="FFF5F5F5"/>
        <bgColor rgb="FFFFFFFF"/>
      </patternFill>
    </fill>
    <fill>
      <patternFill patternType="solid">
        <fgColor rgb="FFFFF2CC"/>
        <bgColor rgb="FFFCE9D4"/>
      </patternFill>
    </fill>
    <fill>
      <patternFill patternType="solid">
        <fgColor rgb="FFE2EFDA"/>
        <bgColor rgb="FFD6E4F7"/>
      </patternFill>
    </fill>
    <fill>
      <patternFill patternType="solid">
        <fgColor rgb="FFFCE9D4"/>
        <bgColor rgb="FFFCE4D6"/>
      </patternFill>
    </fill>
    <fill>
      <patternFill patternType="solid">
        <fgColor rgb="FFE8DFF5"/>
        <bgColor rgb="FFD6E4F7"/>
      </patternFill>
    </fill>
    <fill>
      <patternFill patternType="solid">
        <fgColor rgb="FFFCE4D6"/>
        <bgColor rgb="FFFCE9D4"/>
      </patternFill>
    </fill>
    <fill>
      <patternFill patternType="solid">
        <fgColor rgb="FFFFFF00"/>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33">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6" borderId="1" xfId="0" applyFont="1" applyFill="1" applyBorder="1" applyAlignment="1">
      <alignment horizontal="left" vertical="center" wrapText="1"/>
    </xf>
    <xf numFmtId="0" fontId="0" fillId="7" borderId="1" xfId="0" applyFill="1" applyBorder="1" applyAlignment="1">
      <alignment horizontal="center" vertical="center" wrapText="1"/>
    </xf>
    <xf numFmtId="0" fontId="8" fillId="0" borderId="1" xfId="0" applyFont="1" applyBorder="1" applyAlignment="1">
      <alignment horizontal="left" vertical="center" wrapText="1"/>
    </xf>
    <xf numFmtId="0" fontId="6" fillId="0" borderId="1" xfId="0" applyFont="1" applyBorder="1" applyAlignment="1">
      <alignment horizontal="left" vertical="center" wrapText="1"/>
    </xf>
    <xf numFmtId="0" fontId="12" fillId="10"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5" fillId="0" borderId="1" xfId="0" applyFont="1" applyBorder="1" applyAlignment="1">
      <alignment horizontal="left" vertical="center" wrapText="1"/>
    </xf>
    <xf numFmtId="0" fontId="4" fillId="11"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17" fillId="5" borderId="0" xfId="0" applyFont="1" applyFill="1" applyAlignment="1">
      <alignment horizontal="left" vertical="center" wrapText="1"/>
    </xf>
    <xf numFmtId="0" fontId="4" fillId="5" borderId="0" xfId="0" applyFont="1" applyFill="1" applyAlignment="1">
      <alignment horizontal="left" vertical="center" wrapText="1"/>
    </xf>
    <xf numFmtId="0" fontId="4" fillId="3" borderId="0" xfId="0" applyFont="1" applyFill="1" applyAlignment="1">
      <alignment horizontal="left" vertical="center" wrapText="1"/>
    </xf>
    <xf numFmtId="0" fontId="4" fillId="0" borderId="2" xfId="0" applyFont="1" applyBorder="1" applyAlignment="1">
      <alignment horizontal="left" vertical="center" wrapText="1"/>
    </xf>
    <xf numFmtId="0" fontId="11" fillId="7" borderId="2" xfId="0" applyFont="1" applyFill="1" applyBorder="1" applyAlignment="1">
      <alignment horizontal="left" vertical="center" wrapText="1"/>
    </xf>
    <xf numFmtId="0" fontId="10" fillId="6" borderId="0" xfId="0" applyFont="1" applyFill="1" applyAlignment="1">
      <alignment horizontal="center" vertical="center" wrapText="1"/>
    </xf>
    <xf numFmtId="0" fontId="9" fillId="8" borderId="0" xfId="0" applyFont="1" applyFill="1" applyAlignment="1">
      <alignment horizontal="left" vertical="center" wrapText="1"/>
    </xf>
    <xf numFmtId="0" fontId="4" fillId="9" borderId="0" xfId="0" applyFont="1" applyFill="1" applyAlignment="1">
      <alignment horizontal="left" vertical="center" wrapText="1"/>
    </xf>
    <xf numFmtId="0" fontId="11" fillId="7" borderId="0" xfId="0" applyFont="1" applyFill="1" applyAlignment="1">
      <alignment horizontal="left" vertical="center" wrapText="1"/>
    </xf>
    <xf numFmtId="0" fontId="0" fillId="6" borderId="2" xfId="0" applyFill="1" applyBorder="1" applyAlignment="1">
      <alignment horizontal="left" vertical="center" wrapText="1"/>
    </xf>
    <xf numFmtId="49" fontId="0" fillId="6" borderId="2"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91F1F"/>
      <rgbColor rgb="FF1A5C2A"/>
      <rgbColor rgb="FF000080"/>
      <rgbColor rgb="FF808000"/>
      <rgbColor rgb="FF800080"/>
      <rgbColor rgb="FF065F46"/>
      <rgbColor rgb="FFCCCCCC"/>
      <rgbColor rgb="FF808080"/>
      <rgbColor rgb="FFAAAAAA"/>
      <rgbColor rgb="FF993366"/>
      <rgbColor rgb="FFFFF2CC"/>
      <rgbColor rgb="FFF5F5F5"/>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E8DFF5"/>
      <rgbColor rgb="FFE2EFDA"/>
      <rgbColor rgb="FFFCE9D4"/>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1A1A1A"/>
      <rgbColor rgb="FF7B2D00"/>
      <rgbColor rgb="FF993366"/>
      <rgbColor rgb="FF333399"/>
      <rgbColor rgb="FF1A2B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 /><Relationship Id="rId2" Type="http://schemas.microsoft.com/office/2011/relationships/webextension" Target="webextension2.xml"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 dockstate="right" visibility="0" width="357" row="2">
    <wetp:webextensionref xmlns:r="http://schemas.openxmlformats.org/officeDocument/2006/relationships" r:id="rId3"/>
  </wetp:taskpane>
</wetp:taskpanes>
</file>

<file path=xl/webextensions/webextension1.xml><?xml version="1.0" encoding="utf-8"?>
<we:webextension xmlns:we="http://schemas.microsoft.com/office/webextensions/webextension/2010/11" id="{17A4A659-DE5B-4AEF-B2F5-338EACA2365B}">
  <we:reference id="wa200005281" version="1.0.0.0" store="en-US" storeType="OMEX"/>
  <we:alternateReferences>
    <we:reference id="WA200005281" version="1.0.0.0"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7AFBAA98-6249-4EC7-8E03-AADAF32EA9E5}">
  <we:reference id="wa200004935" version="6.1.0.0" store="en-US"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3.xml><?xml version="1.0" encoding="utf-8"?>
<we:webextension xmlns:we="http://schemas.microsoft.com/office/webextensions/webextension/2010/11" id="{2B3DB88A-3269-4FFB-9A13-75F3A506E017}">
  <we:reference id="wa200005502" version="1.0.0.13" store="en-US" storeType="OMEX"/>
  <we:alternateReferences>
    <we:reference id="wa200005502" version="1.0.0.13" store="wa200005502" storeType="OMEX"/>
  </we:alternateReferences>
  <we:properties>
    <we:property name="docId" value="&quot;V1U4Z0bZlo3BJDPz1GOWl&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7"/>
  <sheetViews>
    <sheetView topLeftCell="H1" zoomScaleNormal="100" workbookViewId="0">
      <selection activeCell="L4" sqref="L4"/>
    </sheetView>
  </sheetViews>
  <sheetFormatPr defaultColWidth="8.7421875" defaultRowHeight="15" x14ac:dyDescent="0.2"/>
  <cols>
    <col min="1" max="1" width="11.02734375" customWidth="1"/>
    <col min="2" max="2" width="11.97265625" customWidth="1"/>
    <col min="3" max="3" width="9.953125" customWidth="1"/>
    <col min="4" max="4" width="16.0078125" customWidth="1"/>
    <col min="5" max="5" width="7.93359375" customWidth="1"/>
    <col min="6" max="6" width="16.0078125" customWidth="1"/>
    <col min="7" max="7" width="18.0234375" customWidth="1"/>
    <col min="8" max="8" width="9.953125" customWidth="1"/>
    <col min="9" max="10" width="11.97265625" customWidth="1"/>
    <col min="11" max="11" width="13.98828125" customWidth="1"/>
    <col min="12" max="12" width="10.22265625" bestFit="1" customWidth="1"/>
  </cols>
  <sheetData>
    <row r="1" spans="1:14" ht="25.5" customHeight="1" x14ac:dyDescent="0.2">
      <c r="A1" s="19" t="s">
        <v>0</v>
      </c>
      <c r="B1" s="19"/>
      <c r="C1" s="19"/>
      <c r="D1" s="19"/>
      <c r="E1" s="19"/>
      <c r="F1" s="19"/>
      <c r="G1" s="19"/>
      <c r="H1" s="19"/>
      <c r="I1" s="19"/>
      <c r="J1" s="19"/>
      <c r="K1" s="19"/>
    </row>
    <row r="2" spans="1:14" ht="25.5" customHeight="1" x14ac:dyDescent="0.2">
      <c r="A2" s="20" t="s">
        <v>1</v>
      </c>
      <c r="B2" s="20"/>
      <c r="C2" s="20"/>
      <c r="D2" s="20"/>
      <c r="E2" s="20"/>
      <c r="F2" s="20"/>
      <c r="G2" s="20"/>
      <c r="H2" s="20"/>
      <c r="I2" s="20"/>
      <c r="J2" s="20"/>
      <c r="K2" s="20"/>
    </row>
    <row r="3" spans="1:14" ht="19.5" customHeight="1" x14ac:dyDescent="0.2">
      <c r="A3" s="1" t="s">
        <v>2</v>
      </c>
      <c r="B3" s="1" t="s">
        <v>3</v>
      </c>
      <c r="C3" s="1" t="s">
        <v>4</v>
      </c>
      <c r="D3" s="1" t="s">
        <v>5</v>
      </c>
      <c r="E3" s="1" t="s">
        <v>6</v>
      </c>
      <c r="F3" s="1" t="s">
        <v>7</v>
      </c>
      <c r="G3" s="1" t="s">
        <v>8</v>
      </c>
      <c r="H3" s="1" t="s">
        <v>9</v>
      </c>
      <c r="I3" s="1" t="s">
        <v>10</v>
      </c>
      <c r="J3" s="1" t="s">
        <v>11</v>
      </c>
      <c r="K3" s="1" t="s">
        <v>12</v>
      </c>
      <c r="N3" s="2"/>
    </row>
    <row r="4" spans="1:14" ht="15" customHeight="1" x14ac:dyDescent="0.2">
      <c r="A4" s="2" t="s">
        <v>13</v>
      </c>
      <c r="B4" s="2" t="s">
        <v>14</v>
      </c>
      <c r="C4" s="2" t="s">
        <v>15</v>
      </c>
      <c r="D4" s="3" t="s">
        <v>16</v>
      </c>
      <c r="E4" s="2" t="s">
        <v>17</v>
      </c>
      <c r="F4" s="2" t="s">
        <v>18</v>
      </c>
      <c r="G4" s="3" t="s">
        <v>19</v>
      </c>
      <c r="H4" s="2">
        <v>1</v>
      </c>
      <c r="I4" s="2">
        <v>79</v>
      </c>
      <c r="J4" s="2">
        <v>79</v>
      </c>
      <c r="K4" s="2" t="s">
        <v>20</v>
      </c>
      <c r="N4" s="2"/>
    </row>
    <row r="5" spans="1:14" ht="15" customHeight="1" x14ac:dyDescent="0.2">
      <c r="A5" s="4" t="s">
        <v>21</v>
      </c>
      <c r="B5" s="4" t="s">
        <v>22</v>
      </c>
      <c r="C5" s="4" t="s">
        <v>23</v>
      </c>
      <c r="D5" s="5" t="s">
        <v>24</v>
      </c>
      <c r="E5" s="4" t="s">
        <v>25</v>
      </c>
      <c r="F5" s="4" t="s">
        <v>26</v>
      </c>
      <c r="G5" s="5" t="s">
        <v>27</v>
      </c>
      <c r="H5" s="4">
        <v>2</v>
      </c>
      <c r="I5" s="4">
        <v>129</v>
      </c>
      <c r="J5" s="4">
        <v>258</v>
      </c>
      <c r="K5" s="4" t="s">
        <v>28</v>
      </c>
      <c r="N5" s="2"/>
    </row>
    <row r="6" spans="1:14" ht="15" customHeight="1" x14ac:dyDescent="0.2">
      <c r="A6" s="2" t="s">
        <v>29</v>
      </c>
      <c r="B6" s="2" t="s">
        <v>30</v>
      </c>
      <c r="C6" s="2" t="s">
        <v>31</v>
      </c>
      <c r="D6" s="3" t="s">
        <v>32</v>
      </c>
      <c r="E6" s="2" t="s">
        <v>33</v>
      </c>
      <c r="F6" s="2" t="s">
        <v>34</v>
      </c>
      <c r="G6" s="3" t="s">
        <v>35</v>
      </c>
      <c r="H6" s="2">
        <v>1</v>
      </c>
      <c r="I6" s="2">
        <v>88</v>
      </c>
      <c r="J6" s="2">
        <v>88</v>
      </c>
      <c r="K6" s="2" t="s">
        <v>36</v>
      </c>
    </row>
    <row r="7" spans="1:14" ht="15" customHeight="1" x14ac:dyDescent="0.2">
      <c r="A7" s="4" t="s">
        <v>37</v>
      </c>
      <c r="B7" s="4" t="s">
        <v>38</v>
      </c>
      <c r="C7" s="4" t="s">
        <v>39</v>
      </c>
      <c r="D7" s="5" t="s">
        <v>40</v>
      </c>
      <c r="E7" s="4" t="s">
        <v>41</v>
      </c>
      <c r="F7" s="4" t="s">
        <v>42</v>
      </c>
      <c r="G7" s="5" t="s">
        <v>43</v>
      </c>
      <c r="H7" s="4">
        <v>3</v>
      </c>
      <c r="I7" s="4">
        <v>179</v>
      </c>
      <c r="J7" s="4">
        <v>537</v>
      </c>
      <c r="K7" s="4" t="s">
        <v>20</v>
      </c>
    </row>
    <row r="8" spans="1:14" ht="15" customHeight="1" x14ac:dyDescent="0.2">
      <c r="A8" s="2" t="s">
        <v>44</v>
      </c>
      <c r="B8" s="2" t="s">
        <v>45</v>
      </c>
      <c r="C8" s="2" t="s">
        <v>46</v>
      </c>
      <c r="D8" s="3" t="s">
        <v>47</v>
      </c>
      <c r="E8" s="2" t="s">
        <v>17</v>
      </c>
      <c r="F8" s="2" t="s">
        <v>48</v>
      </c>
      <c r="G8" s="3" t="s">
        <v>49</v>
      </c>
      <c r="H8" s="2">
        <v>1</v>
      </c>
      <c r="I8" s="2">
        <v>349</v>
      </c>
      <c r="J8" s="2">
        <v>349</v>
      </c>
      <c r="K8" s="2" t="s">
        <v>28</v>
      </c>
    </row>
    <row r="9" spans="1:14" ht="15" customHeight="1" x14ac:dyDescent="0.2">
      <c r="A9" s="4" t="s">
        <v>50</v>
      </c>
      <c r="B9" s="4" t="s">
        <v>51</v>
      </c>
      <c r="C9" s="4" t="s">
        <v>52</v>
      </c>
      <c r="D9" s="5" t="s">
        <v>53</v>
      </c>
      <c r="E9" s="4" t="s">
        <v>25</v>
      </c>
      <c r="F9" s="4" t="s">
        <v>18</v>
      </c>
      <c r="G9" s="5" t="s">
        <v>54</v>
      </c>
      <c r="H9" s="4">
        <v>2</v>
      </c>
      <c r="I9" s="4">
        <v>89</v>
      </c>
      <c r="J9" s="4">
        <v>178</v>
      </c>
      <c r="K9" s="4" t="s">
        <v>36</v>
      </c>
    </row>
    <row r="10" spans="1:14" ht="15" customHeight="1" x14ac:dyDescent="0.2">
      <c r="A10" s="2" t="s">
        <v>55</v>
      </c>
      <c r="B10" s="2" t="s">
        <v>56</v>
      </c>
      <c r="C10" s="2" t="s">
        <v>15</v>
      </c>
      <c r="D10" s="3" t="s">
        <v>57</v>
      </c>
      <c r="E10" s="2" t="s">
        <v>33</v>
      </c>
      <c r="F10" s="2" t="s">
        <v>26</v>
      </c>
      <c r="G10" s="3" t="s">
        <v>58</v>
      </c>
      <c r="H10" s="2">
        <v>1</v>
      </c>
      <c r="I10" s="2">
        <v>399</v>
      </c>
      <c r="J10" s="2">
        <v>399</v>
      </c>
      <c r="K10" s="2" t="s">
        <v>20</v>
      </c>
    </row>
    <row r="11" spans="1:14" ht="15" customHeight="1" x14ac:dyDescent="0.2">
      <c r="A11" s="4" t="s">
        <v>59</v>
      </c>
      <c r="B11" s="4" t="s">
        <v>60</v>
      </c>
      <c r="C11" s="4" t="s">
        <v>23</v>
      </c>
      <c r="D11" s="5" t="s">
        <v>61</v>
      </c>
      <c r="E11" s="4" t="s">
        <v>41</v>
      </c>
      <c r="F11" s="4" t="s">
        <v>34</v>
      </c>
      <c r="G11" s="5" t="s">
        <v>62</v>
      </c>
      <c r="H11" s="4">
        <v>1</v>
      </c>
      <c r="I11" s="4">
        <v>24</v>
      </c>
      <c r="J11" s="4">
        <v>24</v>
      </c>
      <c r="K11" s="4" t="s">
        <v>28</v>
      </c>
    </row>
    <row r="12" spans="1:14" ht="15" customHeight="1" x14ac:dyDescent="0.2">
      <c r="A12" s="2" t="s">
        <v>63</v>
      </c>
      <c r="B12" s="2" t="s">
        <v>64</v>
      </c>
      <c r="C12" s="2" t="s">
        <v>31</v>
      </c>
      <c r="D12" s="3" t="s">
        <v>65</v>
      </c>
      <c r="E12" s="2" t="s">
        <v>17</v>
      </c>
      <c r="F12" s="2" t="s">
        <v>42</v>
      </c>
      <c r="G12" s="3" t="s">
        <v>66</v>
      </c>
      <c r="H12" s="2">
        <v>2</v>
      </c>
      <c r="I12" s="2">
        <v>249</v>
      </c>
      <c r="J12" s="2">
        <v>498</v>
      </c>
      <c r="K12" s="2" t="s">
        <v>36</v>
      </c>
    </row>
    <row r="13" spans="1:14" ht="15" customHeight="1" x14ac:dyDescent="0.2">
      <c r="A13" s="4" t="s">
        <v>67</v>
      </c>
      <c r="B13" s="4" t="s">
        <v>68</v>
      </c>
      <c r="C13" s="4" t="s">
        <v>39</v>
      </c>
      <c r="D13" s="5" t="s">
        <v>69</v>
      </c>
      <c r="E13" s="4" t="s">
        <v>25</v>
      </c>
      <c r="F13" s="4" t="s">
        <v>48</v>
      </c>
      <c r="G13" s="5" t="s">
        <v>70</v>
      </c>
      <c r="H13" s="4">
        <v>1</v>
      </c>
      <c r="I13" s="4">
        <v>1099</v>
      </c>
      <c r="J13" s="4">
        <v>1099</v>
      </c>
      <c r="K13" s="4" t="s">
        <v>20</v>
      </c>
    </row>
    <row r="14" spans="1:14" ht="15" customHeight="1" x14ac:dyDescent="0.2">
      <c r="A14" s="2" t="s">
        <v>71</v>
      </c>
      <c r="B14" s="2" t="s">
        <v>72</v>
      </c>
      <c r="C14" s="2" t="s">
        <v>46</v>
      </c>
      <c r="D14" s="3" t="s">
        <v>73</v>
      </c>
      <c r="E14" s="2" t="s">
        <v>33</v>
      </c>
      <c r="F14" s="2" t="s">
        <v>18</v>
      </c>
      <c r="G14" s="3" t="s">
        <v>74</v>
      </c>
      <c r="H14" s="2">
        <v>1</v>
      </c>
      <c r="I14" s="2">
        <v>95</v>
      </c>
      <c r="J14" s="2">
        <v>95</v>
      </c>
      <c r="K14" s="2" t="s">
        <v>28</v>
      </c>
    </row>
    <row r="15" spans="1:14" ht="15" customHeight="1" x14ac:dyDescent="0.2">
      <c r="A15" s="4" t="s">
        <v>75</v>
      </c>
      <c r="B15" s="4" t="s">
        <v>76</v>
      </c>
      <c r="C15" s="4" t="s">
        <v>52</v>
      </c>
      <c r="D15" s="5" t="s">
        <v>77</v>
      </c>
      <c r="E15" s="4" t="s">
        <v>41</v>
      </c>
      <c r="F15" s="4" t="s">
        <v>26</v>
      </c>
      <c r="G15" s="5" t="s">
        <v>78</v>
      </c>
      <c r="H15" s="4">
        <v>2</v>
      </c>
      <c r="I15" s="4">
        <v>549</v>
      </c>
      <c r="J15" s="4">
        <v>1098</v>
      </c>
      <c r="K15" s="4" t="s">
        <v>36</v>
      </c>
    </row>
    <row r="16" spans="1:14" ht="15" customHeight="1" x14ac:dyDescent="0.2">
      <c r="A16" s="2" t="s">
        <v>79</v>
      </c>
      <c r="B16" s="2" t="s">
        <v>80</v>
      </c>
      <c r="C16" s="2" t="s">
        <v>15</v>
      </c>
      <c r="D16" s="3" t="s">
        <v>16</v>
      </c>
      <c r="E16" s="2" t="s">
        <v>17</v>
      </c>
      <c r="F16" s="2" t="s">
        <v>34</v>
      </c>
      <c r="G16" s="3" t="s">
        <v>81</v>
      </c>
      <c r="H16" s="2">
        <v>1</v>
      </c>
      <c r="I16" s="2">
        <v>125</v>
      </c>
      <c r="J16" s="2">
        <v>125</v>
      </c>
      <c r="K16" s="2" t="s">
        <v>20</v>
      </c>
    </row>
    <row r="17" spans="1:11" ht="15" customHeight="1" x14ac:dyDescent="0.2">
      <c r="A17" s="4" t="s">
        <v>82</v>
      </c>
      <c r="B17" s="4" t="s">
        <v>83</v>
      </c>
      <c r="C17" s="4" t="s">
        <v>23</v>
      </c>
      <c r="D17" s="5" t="s">
        <v>24</v>
      </c>
      <c r="E17" s="4" t="s">
        <v>25</v>
      </c>
      <c r="F17" s="4" t="s">
        <v>42</v>
      </c>
      <c r="G17" s="5" t="s">
        <v>84</v>
      </c>
      <c r="H17" s="4">
        <v>3</v>
      </c>
      <c r="I17" s="4">
        <v>299</v>
      </c>
      <c r="J17" s="4">
        <v>897</v>
      </c>
      <c r="K17" s="4" t="s">
        <v>28</v>
      </c>
    </row>
    <row r="18" spans="1:11" ht="15" customHeight="1" x14ac:dyDescent="0.2">
      <c r="A18" s="2" t="s">
        <v>85</v>
      </c>
      <c r="B18" s="2" t="s">
        <v>86</v>
      </c>
      <c r="C18" s="2" t="s">
        <v>31</v>
      </c>
      <c r="D18" s="3" t="s">
        <v>32</v>
      </c>
      <c r="E18" s="2" t="s">
        <v>33</v>
      </c>
      <c r="F18" s="2" t="s">
        <v>48</v>
      </c>
      <c r="G18" s="3" t="s">
        <v>87</v>
      </c>
      <c r="H18" s="2">
        <v>1</v>
      </c>
      <c r="I18" s="2">
        <v>249</v>
      </c>
      <c r="J18" s="2">
        <v>249</v>
      </c>
      <c r="K18" s="2" t="s">
        <v>36</v>
      </c>
    </row>
    <row r="19" spans="1:11" ht="15" customHeight="1" x14ac:dyDescent="0.2">
      <c r="A19" s="4" t="s">
        <v>88</v>
      </c>
      <c r="B19" s="4" t="s">
        <v>89</v>
      </c>
      <c r="C19" s="4" t="s">
        <v>39</v>
      </c>
      <c r="D19" s="5" t="s">
        <v>40</v>
      </c>
      <c r="E19" s="4" t="s">
        <v>41</v>
      </c>
      <c r="F19" s="4" t="s">
        <v>18</v>
      </c>
      <c r="G19" s="5" t="s">
        <v>90</v>
      </c>
      <c r="H19" s="4">
        <v>2</v>
      </c>
      <c r="I19" s="4">
        <v>180</v>
      </c>
      <c r="J19" s="4">
        <v>360</v>
      </c>
      <c r="K19" s="4" t="s">
        <v>20</v>
      </c>
    </row>
    <row r="20" spans="1:11" ht="15" customHeight="1" x14ac:dyDescent="0.2">
      <c r="A20" s="2" t="s">
        <v>91</v>
      </c>
      <c r="B20" s="2" t="s">
        <v>92</v>
      </c>
      <c r="C20" s="2" t="s">
        <v>46</v>
      </c>
      <c r="D20" s="3" t="s">
        <v>47</v>
      </c>
      <c r="E20" s="2" t="s">
        <v>17</v>
      </c>
      <c r="F20" s="2" t="s">
        <v>26</v>
      </c>
      <c r="G20" s="3" t="s">
        <v>93</v>
      </c>
      <c r="H20" s="2">
        <v>1</v>
      </c>
      <c r="I20" s="2">
        <v>549</v>
      </c>
      <c r="J20" s="2">
        <v>549</v>
      </c>
      <c r="K20" s="2" t="s">
        <v>28</v>
      </c>
    </row>
    <row r="21" spans="1:11" ht="15" customHeight="1" x14ac:dyDescent="0.2">
      <c r="A21" s="4" t="s">
        <v>94</v>
      </c>
      <c r="B21" s="4" t="s">
        <v>95</v>
      </c>
      <c r="C21" s="4" t="s">
        <v>52</v>
      </c>
      <c r="D21" s="5" t="s">
        <v>53</v>
      </c>
      <c r="E21" s="4" t="s">
        <v>25</v>
      </c>
      <c r="F21" s="4" t="s">
        <v>34</v>
      </c>
      <c r="G21" s="5" t="s">
        <v>96</v>
      </c>
      <c r="H21" s="4">
        <v>1</v>
      </c>
      <c r="I21" s="4">
        <v>42</v>
      </c>
      <c r="J21" s="4">
        <v>42</v>
      </c>
      <c r="K21" s="4" t="s">
        <v>36</v>
      </c>
    </row>
    <row r="22" spans="1:11" ht="15" customHeight="1" x14ac:dyDescent="0.2">
      <c r="A22" s="2" t="s">
        <v>97</v>
      </c>
      <c r="B22" s="2" t="s">
        <v>98</v>
      </c>
      <c r="C22" s="2" t="s">
        <v>15</v>
      </c>
      <c r="D22" s="3" t="s">
        <v>57</v>
      </c>
      <c r="E22" s="2" t="s">
        <v>33</v>
      </c>
      <c r="F22" s="2" t="s">
        <v>42</v>
      </c>
      <c r="G22" s="3" t="s">
        <v>99</v>
      </c>
      <c r="H22" s="2">
        <v>2</v>
      </c>
      <c r="I22" s="2">
        <v>349</v>
      </c>
      <c r="J22" s="2">
        <v>698</v>
      </c>
      <c r="K22" s="2" t="s">
        <v>20</v>
      </c>
    </row>
    <row r="23" spans="1:11" ht="15" customHeight="1" x14ac:dyDescent="0.2">
      <c r="A23" s="4" t="s">
        <v>100</v>
      </c>
      <c r="B23" s="4" t="s">
        <v>101</v>
      </c>
      <c r="C23" s="4" t="s">
        <v>23</v>
      </c>
      <c r="D23" s="5" t="s">
        <v>61</v>
      </c>
      <c r="E23" s="4" t="s">
        <v>41</v>
      </c>
      <c r="F23" s="4" t="s">
        <v>48</v>
      </c>
      <c r="G23" s="5" t="s">
        <v>102</v>
      </c>
      <c r="H23" s="4">
        <v>1</v>
      </c>
      <c r="I23" s="4">
        <v>1299</v>
      </c>
      <c r="J23" s="4">
        <v>1299</v>
      </c>
      <c r="K23" s="4" t="s">
        <v>28</v>
      </c>
    </row>
    <row r="24" spans="1:11" ht="15" customHeight="1" x14ac:dyDescent="0.2">
      <c r="A24" s="2" t="s">
        <v>103</v>
      </c>
      <c r="B24" s="2" t="s">
        <v>104</v>
      </c>
      <c r="C24" s="2" t="s">
        <v>31</v>
      </c>
      <c r="D24" s="3" t="s">
        <v>65</v>
      </c>
      <c r="E24" s="2" t="s">
        <v>17</v>
      </c>
      <c r="F24" s="2" t="s">
        <v>18</v>
      </c>
      <c r="G24" s="3" t="s">
        <v>105</v>
      </c>
      <c r="H24" s="2">
        <v>1</v>
      </c>
      <c r="I24" s="2">
        <v>65</v>
      </c>
      <c r="J24" s="2">
        <v>65</v>
      </c>
      <c r="K24" s="2" t="s">
        <v>36</v>
      </c>
    </row>
    <row r="25" spans="1:11" ht="15" customHeight="1" x14ac:dyDescent="0.2">
      <c r="A25" s="4" t="s">
        <v>106</v>
      </c>
      <c r="B25" s="4" t="s">
        <v>107</v>
      </c>
      <c r="C25" s="4" t="s">
        <v>39</v>
      </c>
      <c r="D25" s="5" t="s">
        <v>69</v>
      </c>
      <c r="E25" s="4" t="s">
        <v>25</v>
      </c>
      <c r="F25" s="4" t="s">
        <v>26</v>
      </c>
      <c r="G25" s="5" t="s">
        <v>108</v>
      </c>
      <c r="H25" s="4">
        <v>2</v>
      </c>
      <c r="I25" s="4">
        <v>179</v>
      </c>
      <c r="J25" s="4">
        <v>358</v>
      </c>
      <c r="K25" s="4" t="s">
        <v>20</v>
      </c>
    </row>
    <row r="26" spans="1:11" ht="15" customHeight="1" x14ac:dyDescent="0.2">
      <c r="A26" s="2" t="s">
        <v>109</v>
      </c>
      <c r="B26" s="2" t="s">
        <v>110</v>
      </c>
      <c r="C26" s="2" t="s">
        <v>46</v>
      </c>
      <c r="D26" s="3" t="s">
        <v>73</v>
      </c>
      <c r="E26" s="2" t="s">
        <v>33</v>
      </c>
      <c r="F26" s="2" t="s">
        <v>34</v>
      </c>
      <c r="G26" s="3" t="s">
        <v>111</v>
      </c>
      <c r="H26" s="2">
        <v>1</v>
      </c>
      <c r="I26" s="2">
        <v>38</v>
      </c>
      <c r="J26" s="2">
        <v>38</v>
      </c>
      <c r="K26" s="2" t="s">
        <v>28</v>
      </c>
    </row>
    <row r="27" spans="1:11" ht="15" customHeight="1" x14ac:dyDescent="0.2">
      <c r="A27" s="4" t="s">
        <v>112</v>
      </c>
      <c r="B27" s="4" t="s">
        <v>113</v>
      </c>
      <c r="C27" s="4" t="s">
        <v>52</v>
      </c>
      <c r="D27" s="5" t="s">
        <v>77</v>
      </c>
      <c r="E27" s="4" t="s">
        <v>41</v>
      </c>
      <c r="F27" s="4" t="s">
        <v>42</v>
      </c>
      <c r="G27" s="5" t="s">
        <v>114</v>
      </c>
      <c r="H27" s="4">
        <v>3</v>
      </c>
      <c r="I27" s="4">
        <v>1495</v>
      </c>
      <c r="J27" s="4">
        <v>4485</v>
      </c>
      <c r="K27" s="4" t="s">
        <v>36</v>
      </c>
    </row>
    <row r="28" spans="1:11" ht="15" customHeight="1" x14ac:dyDescent="0.2">
      <c r="A28" s="2" t="s">
        <v>115</v>
      </c>
      <c r="B28" s="2" t="s">
        <v>116</v>
      </c>
      <c r="C28" s="2" t="s">
        <v>15</v>
      </c>
      <c r="D28" s="3" t="s">
        <v>16</v>
      </c>
      <c r="E28" s="2" t="s">
        <v>17</v>
      </c>
      <c r="F28" s="2" t="s">
        <v>48</v>
      </c>
      <c r="G28" s="3" t="s">
        <v>117</v>
      </c>
      <c r="H28" s="2">
        <v>1</v>
      </c>
      <c r="I28" s="2">
        <v>1999</v>
      </c>
      <c r="J28" s="2">
        <v>1999</v>
      </c>
      <c r="K28" s="2" t="s">
        <v>20</v>
      </c>
    </row>
    <row r="29" spans="1:11" ht="15" customHeight="1" x14ac:dyDescent="0.2">
      <c r="A29" s="4" t="s">
        <v>118</v>
      </c>
      <c r="B29" s="4" t="s">
        <v>119</v>
      </c>
      <c r="C29" s="4" t="s">
        <v>23</v>
      </c>
      <c r="D29" s="5" t="s">
        <v>24</v>
      </c>
      <c r="E29" s="4" t="s">
        <v>25</v>
      </c>
      <c r="F29" s="4" t="s">
        <v>18</v>
      </c>
      <c r="G29" s="5" t="s">
        <v>120</v>
      </c>
      <c r="H29" s="4">
        <v>2</v>
      </c>
      <c r="I29" s="4">
        <v>110</v>
      </c>
      <c r="J29" s="4">
        <v>220</v>
      </c>
      <c r="K29" s="4" t="s">
        <v>28</v>
      </c>
    </row>
    <row r="30" spans="1:11" ht="15" customHeight="1" x14ac:dyDescent="0.2">
      <c r="A30" s="2" t="s">
        <v>121</v>
      </c>
      <c r="B30" s="2" t="s">
        <v>122</v>
      </c>
      <c r="C30" s="2" t="s">
        <v>31</v>
      </c>
      <c r="D30" s="3" t="s">
        <v>32</v>
      </c>
      <c r="E30" s="2" t="s">
        <v>33</v>
      </c>
      <c r="F30" s="2" t="s">
        <v>26</v>
      </c>
      <c r="G30" s="3" t="s">
        <v>123</v>
      </c>
      <c r="H30" s="2">
        <v>1</v>
      </c>
      <c r="I30" s="2">
        <v>149</v>
      </c>
      <c r="J30" s="2">
        <v>149</v>
      </c>
      <c r="K30" s="2" t="s">
        <v>36</v>
      </c>
    </row>
    <row r="31" spans="1:11" ht="15" customHeight="1" x14ac:dyDescent="0.2">
      <c r="A31" s="4" t="s">
        <v>124</v>
      </c>
      <c r="B31" s="4" t="s">
        <v>125</v>
      </c>
      <c r="C31" s="4" t="s">
        <v>39</v>
      </c>
      <c r="D31" s="5" t="s">
        <v>40</v>
      </c>
      <c r="E31" s="4" t="s">
        <v>41</v>
      </c>
      <c r="F31" s="4" t="s">
        <v>34</v>
      </c>
      <c r="G31" s="5" t="s">
        <v>126</v>
      </c>
      <c r="H31" s="4">
        <v>1</v>
      </c>
      <c r="I31" s="4">
        <v>185</v>
      </c>
      <c r="J31" s="4">
        <v>185</v>
      </c>
      <c r="K31" s="4" t="s">
        <v>20</v>
      </c>
    </row>
    <row r="32" spans="1:11" ht="15" customHeight="1" x14ac:dyDescent="0.2">
      <c r="A32" s="2" t="s">
        <v>127</v>
      </c>
      <c r="B32" s="2" t="s">
        <v>128</v>
      </c>
      <c r="C32" s="2" t="s">
        <v>46</v>
      </c>
      <c r="D32" s="3" t="s">
        <v>47</v>
      </c>
      <c r="E32" s="2" t="s">
        <v>17</v>
      </c>
      <c r="F32" s="2" t="s">
        <v>42</v>
      </c>
      <c r="G32" s="3" t="s">
        <v>129</v>
      </c>
      <c r="H32" s="2">
        <v>2</v>
      </c>
      <c r="I32" s="2">
        <v>149</v>
      </c>
      <c r="J32" s="2">
        <v>298</v>
      </c>
      <c r="K32" s="2" t="s">
        <v>28</v>
      </c>
    </row>
    <row r="33" spans="1:11" ht="15" customHeight="1" x14ac:dyDescent="0.2">
      <c r="A33" s="4" t="s">
        <v>130</v>
      </c>
      <c r="B33" s="4" t="s">
        <v>131</v>
      </c>
      <c r="C33" s="4" t="s">
        <v>52</v>
      </c>
      <c r="D33" s="5" t="s">
        <v>53</v>
      </c>
      <c r="E33" s="4" t="s">
        <v>25</v>
      </c>
      <c r="F33" s="4" t="s">
        <v>48</v>
      </c>
      <c r="G33" s="5" t="s">
        <v>132</v>
      </c>
      <c r="H33" s="4">
        <v>1</v>
      </c>
      <c r="I33" s="4">
        <v>999</v>
      </c>
      <c r="J33" s="4">
        <v>999</v>
      </c>
      <c r="K33" s="4" t="s">
        <v>36</v>
      </c>
    </row>
    <row r="34" spans="1:11" ht="15" customHeight="1" x14ac:dyDescent="0.2">
      <c r="A34" s="2" t="s">
        <v>133</v>
      </c>
      <c r="B34" s="2" t="s">
        <v>134</v>
      </c>
      <c r="C34" s="2" t="s">
        <v>15</v>
      </c>
      <c r="D34" s="3" t="s">
        <v>57</v>
      </c>
      <c r="E34" s="2" t="s">
        <v>33</v>
      </c>
      <c r="F34" s="2" t="s">
        <v>18</v>
      </c>
      <c r="G34" s="3" t="s">
        <v>19</v>
      </c>
      <c r="H34" s="2">
        <v>1</v>
      </c>
      <c r="I34" s="2">
        <v>79</v>
      </c>
      <c r="J34" s="2">
        <v>79</v>
      </c>
      <c r="K34" s="2" t="s">
        <v>20</v>
      </c>
    </row>
    <row r="35" spans="1:11" ht="15" customHeight="1" x14ac:dyDescent="0.2">
      <c r="A35" s="4" t="s">
        <v>135</v>
      </c>
      <c r="B35" s="4" t="s">
        <v>136</v>
      </c>
      <c r="C35" s="4" t="s">
        <v>23</v>
      </c>
      <c r="D35" s="5" t="s">
        <v>61</v>
      </c>
      <c r="E35" s="4" t="s">
        <v>41</v>
      </c>
      <c r="F35" s="4" t="s">
        <v>26</v>
      </c>
      <c r="G35" s="5" t="s">
        <v>27</v>
      </c>
      <c r="H35" s="4">
        <v>2</v>
      </c>
      <c r="I35" s="4">
        <v>129</v>
      </c>
      <c r="J35" s="4">
        <v>258</v>
      </c>
      <c r="K35" s="4" t="s">
        <v>28</v>
      </c>
    </row>
    <row r="36" spans="1:11" ht="15" customHeight="1" x14ac:dyDescent="0.2">
      <c r="A36" s="2" t="s">
        <v>137</v>
      </c>
      <c r="B36" s="2" t="s">
        <v>138</v>
      </c>
      <c r="C36" s="2" t="s">
        <v>31</v>
      </c>
      <c r="D36" s="3" t="s">
        <v>65</v>
      </c>
      <c r="E36" s="2" t="s">
        <v>17</v>
      </c>
      <c r="F36" s="2" t="s">
        <v>34</v>
      </c>
      <c r="G36" s="3" t="s">
        <v>35</v>
      </c>
      <c r="H36" s="2">
        <v>1</v>
      </c>
      <c r="I36" s="2">
        <v>88</v>
      </c>
      <c r="J36" s="2">
        <v>88</v>
      </c>
      <c r="K36" s="2" t="s">
        <v>36</v>
      </c>
    </row>
    <row r="37" spans="1:11" ht="15" customHeight="1" x14ac:dyDescent="0.2">
      <c r="A37" s="4" t="s">
        <v>139</v>
      </c>
      <c r="B37" s="4" t="s">
        <v>140</v>
      </c>
      <c r="C37" s="4" t="s">
        <v>39</v>
      </c>
      <c r="D37" s="5" t="s">
        <v>69</v>
      </c>
      <c r="E37" s="4" t="s">
        <v>25</v>
      </c>
      <c r="F37" s="4" t="s">
        <v>42</v>
      </c>
      <c r="G37" s="5" t="s">
        <v>43</v>
      </c>
      <c r="H37" s="4">
        <v>3</v>
      </c>
      <c r="I37" s="4">
        <v>179</v>
      </c>
      <c r="J37" s="4">
        <v>537</v>
      </c>
      <c r="K37" s="4" t="s">
        <v>20</v>
      </c>
    </row>
    <row r="38" spans="1:11" ht="15" customHeight="1" x14ac:dyDescent="0.2">
      <c r="A38" s="2" t="s">
        <v>141</v>
      </c>
      <c r="B38" s="2" t="s">
        <v>142</v>
      </c>
      <c r="C38" s="2" t="s">
        <v>46</v>
      </c>
      <c r="D38" s="3" t="s">
        <v>73</v>
      </c>
      <c r="E38" s="2" t="s">
        <v>33</v>
      </c>
      <c r="F38" s="2" t="s">
        <v>48</v>
      </c>
      <c r="G38" s="3" t="s">
        <v>49</v>
      </c>
      <c r="H38" s="2">
        <v>1</v>
      </c>
      <c r="I38" s="2">
        <v>349</v>
      </c>
      <c r="J38" s="2">
        <v>349</v>
      </c>
      <c r="K38" s="2" t="s">
        <v>28</v>
      </c>
    </row>
    <row r="39" spans="1:11" ht="15" customHeight="1" x14ac:dyDescent="0.2">
      <c r="A39" s="4" t="s">
        <v>143</v>
      </c>
      <c r="B39" s="4" t="s">
        <v>144</v>
      </c>
      <c r="C39" s="4" t="s">
        <v>52</v>
      </c>
      <c r="D39" s="5" t="s">
        <v>77</v>
      </c>
      <c r="E39" s="4" t="s">
        <v>41</v>
      </c>
      <c r="F39" s="4" t="s">
        <v>18</v>
      </c>
      <c r="G39" s="5" t="s">
        <v>54</v>
      </c>
      <c r="H39" s="4">
        <v>2</v>
      </c>
      <c r="I39" s="4">
        <v>89</v>
      </c>
      <c r="J39" s="4">
        <v>178</v>
      </c>
      <c r="K39" s="4" t="s">
        <v>36</v>
      </c>
    </row>
    <row r="40" spans="1:11" ht="15" customHeight="1" x14ac:dyDescent="0.2">
      <c r="A40" s="2" t="s">
        <v>145</v>
      </c>
      <c r="B40" s="2" t="s">
        <v>146</v>
      </c>
      <c r="C40" s="2" t="s">
        <v>15</v>
      </c>
      <c r="D40" s="3" t="s">
        <v>16</v>
      </c>
      <c r="E40" s="2" t="s">
        <v>17</v>
      </c>
      <c r="F40" s="2" t="s">
        <v>26</v>
      </c>
      <c r="G40" s="3" t="s">
        <v>58</v>
      </c>
      <c r="H40" s="2">
        <v>1</v>
      </c>
      <c r="I40" s="2">
        <v>399</v>
      </c>
      <c r="J40" s="2">
        <v>399</v>
      </c>
      <c r="K40" s="2" t="s">
        <v>20</v>
      </c>
    </row>
    <row r="41" spans="1:11" ht="15" customHeight="1" x14ac:dyDescent="0.2">
      <c r="A41" s="4" t="s">
        <v>147</v>
      </c>
      <c r="B41" s="4" t="s">
        <v>148</v>
      </c>
      <c r="C41" s="4" t="s">
        <v>23</v>
      </c>
      <c r="D41" s="5" t="s">
        <v>24</v>
      </c>
      <c r="E41" s="4" t="s">
        <v>25</v>
      </c>
      <c r="F41" s="4" t="s">
        <v>34</v>
      </c>
      <c r="G41" s="5" t="s">
        <v>62</v>
      </c>
      <c r="H41" s="4">
        <v>1</v>
      </c>
      <c r="I41" s="4">
        <v>24</v>
      </c>
      <c r="J41" s="4">
        <v>24</v>
      </c>
      <c r="K41" s="4" t="s">
        <v>28</v>
      </c>
    </row>
    <row r="42" spans="1:11" ht="15" customHeight="1" x14ac:dyDescent="0.2">
      <c r="A42" s="2" t="s">
        <v>149</v>
      </c>
      <c r="B42" s="2" t="s">
        <v>150</v>
      </c>
      <c r="C42" s="2" t="s">
        <v>31</v>
      </c>
      <c r="D42" s="3" t="s">
        <v>32</v>
      </c>
      <c r="E42" s="2" t="s">
        <v>33</v>
      </c>
      <c r="F42" s="2" t="s">
        <v>42</v>
      </c>
      <c r="G42" s="3" t="s">
        <v>66</v>
      </c>
      <c r="H42" s="2">
        <v>2</v>
      </c>
      <c r="I42" s="2">
        <v>249</v>
      </c>
      <c r="J42" s="2">
        <v>498</v>
      </c>
      <c r="K42" s="2" t="s">
        <v>36</v>
      </c>
    </row>
    <row r="43" spans="1:11" ht="15" customHeight="1" x14ac:dyDescent="0.2">
      <c r="A43" s="4" t="s">
        <v>151</v>
      </c>
      <c r="B43" s="4" t="s">
        <v>152</v>
      </c>
      <c r="C43" s="4" t="s">
        <v>39</v>
      </c>
      <c r="D43" s="5" t="s">
        <v>40</v>
      </c>
      <c r="E43" s="4" t="s">
        <v>41</v>
      </c>
      <c r="F43" s="4" t="s">
        <v>48</v>
      </c>
      <c r="G43" s="5" t="s">
        <v>70</v>
      </c>
      <c r="H43" s="4">
        <v>1</v>
      </c>
      <c r="I43" s="4">
        <v>1099</v>
      </c>
      <c r="J43" s="4">
        <v>1099</v>
      </c>
      <c r="K43" s="4" t="s">
        <v>20</v>
      </c>
    </row>
    <row r="44" spans="1:11" ht="15" customHeight="1" x14ac:dyDescent="0.2">
      <c r="A44" s="2" t="s">
        <v>153</v>
      </c>
      <c r="B44" s="2" t="s">
        <v>154</v>
      </c>
      <c r="C44" s="2" t="s">
        <v>46</v>
      </c>
      <c r="D44" s="3" t="s">
        <v>47</v>
      </c>
      <c r="E44" s="2" t="s">
        <v>17</v>
      </c>
      <c r="F44" s="2" t="s">
        <v>18</v>
      </c>
      <c r="G44" s="3" t="s">
        <v>74</v>
      </c>
      <c r="H44" s="2">
        <v>1</v>
      </c>
      <c r="I44" s="2">
        <v>95</v>
      </c>
      <c r="J44" s="2">
        <v>95</v>
      </c>
      <c r="K44" s="2" t="s">
        <v>28</v>
      </c>
    </row>
    <row r="45" spans="1:11" ht="15" customHeight="1" x14ac:dyDescent="0.2">
      <c r="A45" s="4" t="s">
        <v>155</v>
      </c>
      <c r="B45" s="4" t="s">
        <v>156</v>
      </c>
      <c r="C45" s="4" t="s">
        <v>52</v>
      </c>
      <c r="D45" s="5" t="s">
        <v>53</v>
      </c>
      <c r="E45" s="4" t="s">
        <v>25</v>
      </c>
      <c r="F45" s="4" t="s">
        <v>26</v>
      </c>
      <c r="G45" s="5" t="s">
        <v>78</v>
      </c>
      <c r="H45" s="4">
        <v>2</v>
      </c>
      <c r="I45" s="4">
        <v>549</v>
      </c>
      <c r="J45" s="4">
        <v>1098</v>
      </c>
      <c r="K45" s="4" t="s">
        <v>36</v>
      </c>
    </row>
    <row r="46" spans="1:11" ht="15" customHeight="1" x14ac:dyDescent="0.2">
      <c r="A46" s="2" t="s">
        <v>157</v>
      </c>
      <c r="B46" s="2" t="s">
        <v>158</v>
      </c>
      <c r="C46" s="2" t="s">
        <v>15</v>
      </c>
      <c r="D46" s="3" t="s">
        <v>57</v>
      </c>
      <c r="E46" s="2" t="s">
        <v>33</v>
      </c>
      <c r="F46" s="2" t="s">
        <v>34</v>
      </c>
      <c r="G46" s="3" t="s">
        <v>81</v>
      </c>
      <c r="H46" s="2">
        <v>1</v>
      </c>
      <c r="I46" s="2">
        <v>125</v>
      </c>
      <c r="J46" s="2">
        <v>125</v>
      </c>
      <c r="K46" s="2" t="s">
        <v>20</v>
      </c>
    </row>
    <row r="47" spans="1:11" ht="15" customHeight="1" x14ac:dyDescent="0.2">
      <c r="A47" s="4" t="s">
        <v>159</v>
      </c>
      <c r="B47" s="4" t="s">
        <v>160</v>
      </c>
      <c r="C47" s="4" t="s">
        <v>23</v>
      </c>
      <c r="D47" s="5" t="s">
        <v>61</v>
      </c>
      <c r="E47" s="4" t="s">
        <v>41</v>
      </c>
      <c r="F47" s="4" t="s">
        <v>42</v>
      </c>
      <c r="G47" s="5" t="s">
        <v>84</v>
      </c>
      <c r="H47" s="4">
        <v>3</v>
      </c>
      <c r="I47" s="4">
        <v>299</v>
      </c>
      <c r="J47" s="4">
        <v>897</v>
      </c>
      <c r="K47" s="4" t="s">
        <v>28</v>
      </c>
    </row>
    <row r="48" spans="1:11" ht="15" customHeight="1" x14ac:dyDescent="0.2">
      <c r="A48" s="2" t="s">
        <v>161</v>
      </c>
      <c r="B48" s="2" t="s">
        <v>162</v>
      </c>
      <c r="C48" s="2" t="s">
        <v>31</v>
      </c>
      <c r="D48" s="3" t="s">
        <v>65</v>
      </c>
      <c r="E48" s="2" t="s">
        <v>17</v>
      </c>
      <c r="F48" s="2" t="s">
        <v>48</v>
      </c>
      <c r="G48" s="3" t="s">
        <v>87</v>
      </c>
      <c r="H48" s="2">
        <v>1</v>
      </c>
      <c r="I48" s="2">
        <v>249</v>
      </c>
      <c r="J48" s="2">
        <v>249</v>
      </c>
      <c r="K48" s="2" t="s">
        <v>36</v>
      </c>
    </row>
    <row r="49" spans="1:18" ht="15" customHeight="1" x14ac:dyDescent="0.2">
      <c r="A49" s="4" t="s">
        <v>163</v>
      </c>
      <c r="B49" s="4" t="s">
        <v>164</v>
      </c>
      <c r="C49" s="4" t="s">
        <v>39</v>
      </c>
      <c r="D49" s="5" t="s">
        <v>69</v>
      </c>
      <c r="E49" s="4" t="s">
        <v>25</v>
      </c>
      <c r="F49" s="4" t="s">
        <v>18</v>
      </c>
      <c r="G49" s="5" t="s">
        <v>90</v>
      </c>
      <c r="H49" s="4">
        <v>2</v>
      </c>
      <c r="I49" s="4">
        <v>180</v>
      </c>
      <c r="J49" s="4">
        <v>360</v>
      </c>
      <c r="K49" s="4" t="s">
        <v>20</v>
      </c>
    </row>
    <row r="50" spans="1:18" ht="15" customHeight="1" x14ac:dyDescent="0.2">
      <c r="A50" s="2" t="s">
        <v>165</v>
      </c>
      <c r="B50" s="2" t="s">
        <v>166</v>
      </c>
      <c r="C50" s="2" t="s">
        <v>46</v>
      </c>
      <c r="D50" s="3" t="s">
        <v>73</v>
      </c>
      <c r="E50" s="2" t="s">
        <v>33</v>
      </c>
      <c r="F50" s="2" t="s">
        <v>26</v>
      </c>
      <c r="G50" s="3" t="s">
        <v>93</v>
      </c>
      <c r="H50" s="2">
        <v>1</v>
      </c>
      <c r="I50" s="2">
        <v>549</v>
      </c>
      <c r="J50" s="2">
        <v>549</v>
      </c>
      <c r="K50" s="2" t="s">
        <v>28</v>
      </c>
    </row>
    <row r="51" spans="1:18" ht="15" customHeight="1" x14ac:dyDescent="0.2">
      <c r="A51" s="4" t="s">
        <v>167</v>
      </c>
      <c r="B51" s="4" t="s">
        <v>168</v>
      </c>
      <c r="C51" s="4" t="s">
        <v>52</v>
      </c>
      <c r="D51" s="5" t="s">
        <v>77</v>
      </c>
      <c r="E51" s="4" t="s">
        <v>41</v>
      </c>
      <c r="F51" s="4" t="s">
        <v>34</v>
      </c>
      <c r="G51" s="5" t="s">
        <v>96</v>
      </c>
      <c r="H51" s="4">
        <v>1</v>
      </c>
      <c r="I51" s="4">
        <v>42</v>
      </c>
      <c r="J51" s="4">
        <v>42</v>
      </c>
      <c r="K51" s="4" t="s">
        <v>36</v>
      </c>
    </row>
    <row r="52" spans="1:18" ht="15" customHeight="1" x14ac:dyDescent="0.2">
      <c r="A52" s="2" t="s">
        <v>169</v>
      </c>
      <c r="B52" s="2" t="s">
        <v>170</v>
      </c>
      <c r="C52" s="2" t="s">
        <v>15</v>
      </c>
      <c r="D52" s="3" t="s">
        <v>16</v>
      </c>
      <c r="E52" s="2" t="s">
        <v>17</v>
      </c>
      <c r="F52" s="2" t="s">
        <v>42</v>
      </c>
      <c r="G52" s="3" t="s">
        <v>99</v>
      </c>
      <c r="H52" s="2">
        <v>2</v>
      </c>
      <c r="I52" s="2">
        <v>349</v>
      </c>
      <c r="J52" s="16">
        <v>698</v>
      </c>
      <c r="K52" s="2" t="s">
        <v>20</v>
      </c>
      <c r="N52" s="2"/>
      <c r="R52" s="16"/>
    </row>
    <row r="53" spans="1:18" ht="15" customHeight="1" x14ac:dyDescent="0.2">
      <c r="A53" s="4" t="s">
        <v>171</v>
      </c>
      <c r="B53" s="4" t="s">
        <v>172</v>
      </c>
      <c r="C53" s="4" t="s">
        <v>23</v>
      </c>
      <c r="D53" s="5" t="s">
        <v>24</v>
      </c>
      <c r="E53" s="4" t="s">
        <v>25</v>
      </c>
      <c r="F53" s="4" t="s">
        <v>48</v>
      </c>
      <c r="G53" s="5" t="s">
        <v>102</v>
      </c>
      <c r="H53" s="4">
        <v>1</v>
      </c>
      <c r="I53" s="4">
        <v>1299</v>
      </c>
      <c r="J53" s="4">
        <v>1299</v>
      </c>
      <c r="K53" s="4" t="s">
        <v>28</v>
      </c>
      <c r="R53" s="16"/>
    </row>
    <row r="54" spans="1:18" ht="15" customHeight="1" x14ac:dyDescent="0.2">
      <c r="A54" s="2" t="s">
        <v>173</v>
      </c>
      <c r="B54" s="2" t="s">
        <v>174</v>
      </c>
      <c r="C54" s="2" t="s">
        <v>31</v>
      </c>
      <c r="D54" s="3" t="s">
        <v>32</v>
      </c>
      <c r="E54" s="2" t="s">
        <v>33</v>
      </c>
      <c r="F54" s="2" t="s">
        <v>18</v>
      </c>
      <c r="G54" s="3" t="s">
        <v>105</v>
      </c>
      <c r="H54" s="2">
        <v>1</v>
      </c>
      <c r="I54" s="2">
        <v>65</v>
      </c>
      <c r="J54" s="2">
        <v>65</v>
      </c>
      <c r="K54" s="2" t="s">
        <v>36</v>
      </c>
      <c r="R54" s="16"/>
    </row>
    <row r="55" spans="1:18" ht="15" customHeight="1" x14ac:dyDescent="0.2">
      <c r="A55" s="4" t="s">
        <v>175</v>
      </c>
      <c r="B55" s="4" t="s">
        <v>176</v>
      </c>
      <c r="C55" s="4" t="s">
        <v>39</v>
      </c>
      <c r="D55" s="5" t="s">
        <v>40</v>
      </c>
      <c r="E55" s="4" t="s">
        <v>41</v>
      </c>
      <c r="F55" s="4" t="s">
        <v>26</v>
      </c>
      <c r="G55" s="5" t="s">
        <v>108</v>
      </c>
      <c r="H55" s="4">
        <v>2</v>
      </c>
      <c r="I55" s="4">
        <v>179</v>
      </c>
      <c r="J55" s="4">
        <v>358</v>
      </c>
      <c r="K55" s="4" t="s">
        <v>20</v>
      </c>
    </row>
    <row r="56" spans="1:18" ht="15" customHeight="1" x14ac:dyDescent="0.2">
      <c r="A56" s="2" t="s">
        <v>177</v>
      </c>
      <c r="B56" s="2" t="s">
        <v>178</v>
      </c>
      <c r="C56" s="2" t="s">
        <v>46</v>
      </c>
      <c r="D56" s="3" t="s">
        <v>47</v>
      </c>
      <c r="E56" s="2" t="s">
        <v>17</v>
      </c>
      <c r="F56" s="2" t="s">
        <v>34</v>
      </c>
      <c r="G56" s="3" t="s">
        <v>111</v>
      </c>
      <c r="H56" s="2">
        <v>1</v>
      </c>
      <c r="I56" s="2">
        <v>38</v>
      </c>
      <c r="J56" s="2">
        <v>38</v>
      </c>
      <c r="K56" s="2" t="s">
        <v>28</v>
      </c>
    </row>
    <row r="57" spans="1:18" ht="15" customHeight="1" x14ac:dyDescent="0.2">
      <c r="A57" s="4" t="s">
        <v>179</v>
      </c>
      <c r="B57" s="4" t="s">
        <v>180</v>
      </c>
      <c r="C57" s="4" t="s">
        <v>52</v>
      </c>
      <c r="D57" s="5" t="s">
        <v>53</v>
      </c>
      <c r="E57" s="4" t="s">
        <v>25</v>
      </c>
      <c r="F57" s="4" t="s">
        <v>42</v>
      </c>
      <c r="G57" s="5" t="s">
        <v>114</v>
      </c>
      <c r="H57" s="4">
        <v>3</v>
      </c>
      <c r="I57" s="4">
        <v>1495</v>
      </c>
      <c r="J57" s="4">
        <v>4485</v>
      </c>
      <c r="K57" s="4" t="s">
        <v>36</v>
      </c>
    </row>
    <row r="58" spans="1:18" ht="15" customHeight="1" x14ac:dyDescent="0.2">
      <c r="A58" s="2" t="s">
        <v>181</v>
      </c>
      <c r="B58" s="2" t="s">
        <v>182</v>
      </c>
      <c r="C58" s="2" t="s">
        <v>15</v>
      </c>
      <c r="D58" s="3" t="s">
        <v>57</v>
      </c>
      <c r="E58" s="2" t="s">
        <v>33</v>
      </c>
      <c r="F58" s="2" t="s">
        <v>48</v>
      </c>
      <c r="G58" s="3" t="s">
        <v>117</v>
      </c>
      <c r="H58" s="2">
        <v>1</v>
      </c>
      <c r="I58" s="2">
        <v>1999</v>
      </c>
      <c r="J58" s="2">
        <v>1999</v>
      </c>
      <c r="K58" s="2" t="s">
        <v>20</v>
      </c>
    </row>
    <row r="59" spans="1:18" ht="15" customHeight="1" x14ac:dyDescent="0.2">
      <c r="A59" s="4" t="s">
        <v>183</v>
      </c>
      <c r="B59" s="4" t="s">
        <v>184</v>
      </c>
      <c r="C59" s="4" t="s">
        <v>23</v>
      </c>
      <c r="D59" s="5" t="s">
        <v>61</v>
      </c>
      <c r="E59" s="4" t="s">
        <v>41</v>
      </c>
      <c r="F59" s="4" t="s">
        <v>18</v>
      </c>
      <c r="G59" s="5" t="s">
        <v>120</v>
      </c>
      <c r="H59" s="4">
        <v>2</v>
      </c>
      <c r="I59" s="4">
        <v>110</v>
      </c>
      <c r="J59" s="4">
        <v>220</v>
      </c>
      <c r="K59" s="4" t="s">
        <v>28</v>
      </c>
    </row>
    <row r="60" spans="1:18" ht="15" customHeight="1" x14ac:dyDescent="0.2">
      <c r="A60" s="2" t="s">
        <v>185</v>
      </c>
      <c r="B60" s="2" t="s">
        <v>186</v>
      </c>
      <c r="C60" s="2" t="s">
        <v>31</v>
      </c>
      <c r="D60" s="3" t="s">
        <v>65</v>
      </c>
      <c r="E60" s="2" t="s">
        <v>17</v>
      </c>
      <c r="F60" s="2" t="s">
        <v>26</v>
      </c>
      <c r="G60" s="3" t="s">
        <v>123</v>
      </c>
      <c r="H60" s="2">
        <v>1</v>
      </c>
      <c r="I60" s="2">
        <v>149</v>
      </c>
      <c r="J60" s="2">
        <v>149</v>
      </c>
      <c r="K60" s="2" t="s">
        <v>36</v>
      </c>
    </row>
    <row r="61" spans="1:18" ht="15" customHeight="1" x14ac:dyDescent="0.2">
      <c r="A61" s="4" t="s">
        <v>187</v>
      </c>
      <c r="B61" s="4" t="s">
        <v>188</v>
      </c>
      <c r="C61" s="4" t="s">
        <v>39</v>
      </c>
      <c r="D61" s="5" t="s">
        <v>69</v>
      </c>
      <c r="E61" s="4" t="s">
        <v>25</v>
      </c>
      <c r="F61" s="4" t="s">
        <v>34</v>
      </c>
      <c r="G61" s="5" t="s">
        <v>126</v>
      </c>
      <c r="H61" s="4">
        <v>1</v>
      </c>
      <c r="I61" s="4">
        <v>185</v>
      </c>
      <c r="J61" s="4">
        <v>185</v>
      </c>
      <c r="K61" s="4" t="s">
        <v>20</v>
      </c>
    </row>
    <row r="62" spans="1:18" ht="15" customHeight="1" x14ac:dyDescent="0.2">
      <c r="A62" s="2" t="s">
        <v>189</v>
      </c>
      <c r="B62" s="2" t="s">
        <v>190</v>
      </c>
      <c r="C62" s="2" t="s">
        <v>46</v>
      </c>
      <c r="D62" s="3" t="s">
        <v>73</v>
      </c>
      <c r="E62" s="2" t="s">
        <v>33</v>
      </c>
      <c r="F62" s="2" t="s">
        <v>42</v>
      </c>
      <c r="G62" s="3" t="s">
        <v>129</v>
      </c>
      <c r="H62" s="2">
        <v>2</v>
      </c>
      <c r="I62" s="2">
        <v>149</v>
      </c>
      <c r="J62" s="2">
        <v>298</v>
      </c>
      <c r="K62" s="2" t="s">
        <v>28</v>
      </c>
    </row>
    <row r="63" spans="1:18" ht="15" customHeight="1" x14ac:dyDescent="0.2">
      <c r="A63" s="4" t="s">
        <v>191</v>
      </c>
      <c r="B63" s="4" t="s">
        <v>192</v>
      </c>
      <c r="C63" s="4" t="s">
        <v>52</v>
      </c>
      <c r="D63" s="5" t="s">
        <v>77</v>
      </c>
      <c r="E63" s="4" t="s">
        <v>41</v>
      </c>
      <c r="F63" s="4" t="s">
        <v>48</v>
      </c>
      <c r="G63" s="5" t="s">
        <v>132</v>
      </c>
      <c r="H63" s="4">
        <v>1</v>
      </c>
      <c r="I63" s="4">
        <v>999</v>
      </c>
      <c r="J63" s="4">
        <v>999</v>
      </c>
      <c r="K63" s="4" t="s">
        <v>36</v>
      </c>
    </row>
    <row r="64" spans="1:18" ht="15" customHeight="1" x14ac:dyDescent="0.2">
      <c r="A64" s="2" t="s">
        <v>193</v>
      </c>
      <c r="B64" s="2" t="s">
        <v>194</v>
      </c>
      <c r="C64" s="2" t="s">
        <v>15</v>
      </c>
      <c r="D64" s="3" t="s">
        <v>16</v>
      </c>
      <c r="E64" s="2" t="s">
        <v>17</v>
      </c>
      <c r="F64" s="2" t="s">
        <v>18</v>
      </c>
      <c r="G64" s="3" t="s">
        <v>19</v>
      </c>
      <c r="H64" s="2">
        <v>1</v>
      </c>
      <c r="I64" s="2">
        <v>79</v>
      </c>
      <c r="J64" s="2">
        <v>79</v>
      </c>
      <c r="K64" s="2" t="s">
        <v>20</v>
      </c>
    </row>
    <row r="65" spans="1:11" ht="15" customHeight="1" x14ac:dyDescent="0.2">
      <c r="A65" s="4" t="s">
        <v>195</v>
      </c>
      <c r="B65" s="4" t="s">
        <v>196</v>
      </c>
      <c r="C65" s="4" t="s">
        <v>23</v>
      </c>
      <c r="D65" s="5" t="s">
        <v>24</v>
      </c>
      <c r="E65" s="4" t="s">
        <v>25</v>
      </c>
      <c r="F65" s="4" t="s">
        <v>26</v>
      </c>
      <c r="G65" s="5" t="s">
        <v>27</v>
      </c>
      <c r="H65" s="4">
        <v>2</v>
      </c>
      <c r="I65" s="4">
        <v>129</v>
      </c>
      <c r="J65" s="4">
        <v>258</v>
      </c>
      <c r="K65" s="4" t="s">
        <v>28</v>
      </c>
    </row>
    <row r="66" spans="1:11" ht="15" customHeight="1" x14ac:dyDescent="0.2">
      <c r="A66" s="2" t="s">
        <v>197</v>
      </c>
      <c r="B66" s="2" t="s">
        <v>198</v>
      </c>
      <c r="C66" s="2" t="s">
        <v>31</v>
      </c>
      <c r="D66" s="3" t="s">
        <v>32</v>
      </c>
      <c r="E66" s="2" t="s">
        <v>33</v>
      </c>
      <c r="F66" s="2" t="s">
        <v>34</v>
      </c>
      <c r="G66" s="3" t="s">
        <v>35</v>
      </c>
      <c r="H66" s="2">
        <v>1</v>
      </c>
      <c r="I66" s="2">
        <v>88</v>
      </c>
      <c r="J66" s="2">
        <v>88</v>
      </c>
      <c r="K66" s="2" t="s">
        <v>36</v>
      </c>
    </row>
    <row r="67" spans="1:11" ht="15" customHeight="1" x14ac:dyDescent="0.2">
      <c r="A67" s="4" t="s">
        <v>199</v>
      </c>
      <c r="B67" s="4" t="s">
        <v>200</v>
      </c>
      <c r="C67" s="4" t="s">
        <v>39</v>
      </c>
      <c r="D67" s="5" t="s">
        <v>40</v>
      </c>
      <c r="E67" s="4" t="s">
        <v>41</v>
      </c>
      <c r="F67" s="4" t="s">
        <v>42</v>
      </c>
      <c r="G67" s="5" t="s">
        <v>43</v>
      </c>
      <c r="H67" s="4">
        <v>3</v>
      </c>
      <c r="I67" s="4">
        <v>179</v>
      </c>
      <c r="J67" s="4">
        <v>537</v>
      </c>
      <c r="K67" s="4" t="s">
        <v>20</v>
      </c>
    </row>
    <row r="68" spans="1:11" ht="15" customHeight="1" x14ac:dyDescent="0.2">
      <c r="A68" s="2" t="s">
        <v>201</v>
      </c>
      <c r="B68" s="2" t="s">
        <v>202</v>
      </c>
      <c r="C68" s="2" t="s">
        <v>46</v>
      </c>
      <c r="D68" s="3" t="s">
        <v>47</v>
      </c>
      <c r="E68" s="2" t="s">
        <v>17</v>
      </c>
      <c r="F68" s="2" t="s">
        <v>48</v>
      </c>
      <c r="G68" s="3" t="s">
        <v>49</v>
      </c>
      <c r="H68" s="2">
        <v>1</v>
      </c>
      <c r="I68" s="2">
        <v>349</v>
      </c>
      <c r="J68" s="2">
        <v>349</v>
      </c>
      <c r="K68" s="2" t="s">
        <v>28</v>
      </c>
    </row>
    <row r="69" spans="1:11" ht="15" customHeight="1" x14ac:dyDescent="0.2">
      <c r="A69" s="4" t="s">
        <v>203</v>
      </c>
      <c r="B69" s="4" t="s">
        <v>204</v>
      </c>
      <c r="C69" s="4" t="s">
        <v>52</v>
      </c>
      <c r="D69" s="5" t="s">
        <v>53</v>
      </c>
      <c r="E69" s="4" t="s">
        <v>25</v>
      </c>
      <c r="F69" s="4" t="s">
        <v>18</v>
      </c>
      <c r="G69" s="5" t="s">
        <v>54</v>
      </c>
      <c r="H69" s="4">
        <v>2</v>
      </c>
      <c r="I69" s="4">
        <v>89</v>
      </c>
      <c r="J69" s="4">
        <v>178</v>
      </c>
      <c r="K69" s="4" t="s">
        <v>36</v>
      </c>
    </row>
    <row r="70" spans="1:11" ht="15" customHeight="1" x14ac:dyDescent="0.2">
      <c r="A70" s="2" t="s">
        <v>205</v>
      </c>
      <c r="B70" s="2" t="s">
        <v>206</v>
      </c>
      <c r="C70" s="2" t="s">
        <v>15</v>
      </c>
      <c r="D70" s="3" t="s">
        <v>57</v>
      </c>
      <c r="E70" s="2" t="s">
        <v>33</v>
      </c>
      <c r="F70" s="2" t="s">
        <v>26</v>
      </c>
      <c r="G70" s="3" t="s">
        <v>58</v>
      </c>
      <c r="H70" s="2">
        <v>1</v>
      </c>
      <c r="I70" s="2">
        <v>399</v>
      </c>
      <c r="J70" s="2">
        <v>399</v>
      </c>
      <c r="K70" s="2" t="s">
        <v>20</v>
      </c>
    </row>
    <row r="71" spans="1:11" ht="15" customHeight="1" x14ac:dyDescent="0.2">
      <c r="A71" s="4" t="s">
        <v>207</v>
      </c>
      <c r="B71" s="4" t="s">
        <v>208</v>
      </c>
      <c r="C71" s="4" t="s">
        <v>23</v>
      </c>
      <c r="D71" s="5" t="s">
        <v>61</v>
      </c>
      <c r="E71" s="4" t="s">
        <v>41</v>
      </c>
      <c r="F71" s="4" t="s">
        <v>34</v>
      </c>
      <c r="G71" s="5" t="s">
        <v>62</v>
      </c>
      <c r="H71" s="4">
        <v>1</v>
      </c>
      <c r="I71" s="4">
        <v>24</v>
      </c>
      <c r="J71" s="4">
        <v>24</v>
      </c>
      <c r="K71" s="4" t="s">
        <v>28</v>
      </c>
    </row>
    <row r="72" spans="1:11" ht="15" customHeight="1" x14ac:dyDescent="0.2">
      <c r="A72" s="2" t="s">
        <v>209</v>
      </c>
      <c r="B72" s="2" t="s">
        <v>210</v>
      </c>
      <c r="C72" s="2" t="s">
        <v>31</v>
      </c>
      <c r="D72" s="3" t="s">
        <v>65</v>
      </c>
      <c r="E72" s="2" t="s">
        <v>17</v>
      </c>
      <c r="F72" s="2" t="s">
        <v>42</v>
      </c>
      <c r="G72" s="3" t="s">
        <v>66</v>
      </c>
      <c r="H72" s="2">
        <v>2</v>
      </c>
      <c r="I72" s="2">
        <v>249</v>
      </c>
      <c r="J72" s="2">
        <v>498</v>
      </c>
      <c r="K72" s="2" t="s">
        <v>36</v>
      </c>
    </row>
    <row r="73" spans="1:11" ht="15" customHeight="1" x14ac:dyDescent="0.2">
      <c r="A73" s="4" t="s">
        <v>211</v>
      </c>
      <c r="B73" s="4" t="s">
        <v>212</v>
      </c>
      <c r="C73" s="4" t="s">
        <v>39</v>
      </c>
      <c r="D73" s="5" t="s">
        <v>69</v>
      </c>
      <c r="E73" s="4" t="s">
        <v>25</v>
      </c>
      <c r="F73" s="4" t="s">
        <v>48</v>
      </c>
      <c r="G73" s="5" t="s">
        <v>70</v>
      </c>
      <c r="H73" s="4">
        <v>1</v>
      </c>
      <c r="I73" s="4">
        <v>1099</v>
      </c>
      <c r="J73" s="4">
        <v>1099</v>
      </c>
      <c r="K73" s="4" t="s">
        <v>20</v>
      </c>
    </row>
    <row r="74" spans="1:11" ht="15" customHeight="1" x14ac:dyDescent="0.2">
      <c r="A74" s="2" t="s">
        <v>213</v>
      </c>
      <c r="B74" s="2" t="s">
        <v>214</v>
      </c>
      <c r="C74" s="2" t="s">
        <v>46</v>
      </c>
      <c r="D74" s="3" t="s">
        <v>73</v>
      </c>
      <c r="E74" s="2" t="s">
        <v>33</v>
      </c>
      <c r="F74" s="2" t="s">
        <v>18</v>
      </c>
      <c r="G74" s="3" t="s">
        <v>74</v>
      </c>
      <c r="H74" s="2">
        <v>1</v>
      </c>
      <c r="I74" s="2">
        <v>95</v>
      </c>
      <c r="J74" s="2">
        <v>95</v>
      </c>
      <c r="K74" s="2" t="s">
        <v>28</v>
      </c>
    </row>
    <row r="75" spans="1:11" ht="15" customHeight="1" x14ac:dyDescent="0.2">
      <c r="A75" s="4" t="s">
        <v>215</v>
      </c>
      <c r="B75" s="4" t="s">
        <v>216</v>
      </c>
      <c r="C75" s="4" t="s">
        <v>52</v>
      </c>
      <c r="D75" s="5" t="s">
        <v>77</v>
      </c>
      <c r="E75" s="4" t="s">
        <v>41</v>
      </c>
      <c r="F75" s="4" t="s">
        <v>26</v>
      </c>
      <c r="G75" s="5" t="s">
        <v>78</v>
      </c>
      <c r="H75" s="4">
        <v>2</v>
      </c>
      <c r="I75" s="4">
        <v>549</v>
      </c>
      <c r="J75" s="4">
        <v>1098</v>
      </c>
      <c r="K75" s="4" t="s">
        <v>36</v>
      </c>
    </row>
    <row r="76" spans="1:11" ht="15" customHeight="1" x14ac:dyDescent="0.2">
      <c r="A76" s="2" t="s">
        <v>217</v>
      </c>
      <c r="B76" s="2" t="s">
        <v>218</v>
      </c>
      <c r="C76" s="2" t="s">
        <v>15</v>
      </c>
      <c r="D76" s="3" t="s">
        <v>16</v>
      </c>
      <c r="E76" s="2" t="s">
        <v>17</v>
      </c>
      <c r="F76" s="2" t="s">
        <v>34</v>
      </c>
      <c r="G76" s="3" t="s">
        <v>81</v>
      </c>
      <c r="H76" s="2">
        <v>1</v>
      </c>
      <c r="I76" s="2">
        <v>125</v>
      </c>
      <c r="J76" s="2">
        <v>125</v>
      </c>
      <c r="K76" s="2" t="s">
        <v>20</v>
      </c>
    </row>
    <row r="77" spans="1:11" ht="15" customHeight="1" x14ac:dyDescent="0.2">
      <c r="A77" s="4" t="s">
        <v>219</v>
      </c>
      <c r="B77" s="4" t="s">
        <v>220</v>
      </c>
      <c r="C77" s="4" t="s">
        <v>23</v>
      </c>
      <c r="D77" s="5" t="s">
        <v>24</v>
      </c>
      <c r="E77" s="4" t="s">
        <v>25</v>
      </c>
      <c r="F77" s="4" t="s">
        <v>42</v>
      </c>
      <c r="G77" s="5" t="s">
        <v>84</v>
      </c>
      <c r="H77" s="4">
        <v>3</v>
      </c>
      <c r="I77" s="4">
        <v>299</v>
      </c>
      <c r="J77" s="4">
        <v>897</v>
      </c>
      <c r="K77" s="4" t="s">
        <v>28</v>
      </c>
    </row>
    <row r="78" spans="1:11" ht="15" customHeight="1" x14ac:dyDescent="0.2">
      <c r="A78" s="2" t="s">
        <v>221</v>
      </c>
      <c r="B78" s="2" t="s">
        <v>222</v>
      </c>
      <c r="C78" s="2" t="s">
        <v>31</v>
      </c>
      <c r="D78" s="3" t="s">
        <v>32</v>
      </c>
      <c r="E78" s="2" t="s">
        <v>33</v>
      </c>
      <c r="F78" s="2" t="s">
        <v>48</v>
      </c>
      <c r="G78" s="3" t="s">
        <v>87</v>
      </c>
      <c r="H78" s="2">
        <v>1</v>
      </c>
      <c r="I78" s="2">
        <v>249</v>
      </c>
      <c r="J78" s="2">
        <v>249</v>
      </c>
      <c r="K78" s="2" t="s">
        <v>36</v>
      </c>
    </row>
    <row r="79" spans="1:11" ht="15" customHeight="1" x14ac:dyDescent="0.2">
      <c r="A79" s="4" t="s">
        <v>223</v>
      </c>
      <c r="B79" s="4" t="s">
        <v>224</v>
      </c>
      <c r="C79" s="4" t="s">
        <v>39</v>
      </c>
      <c r="D79" s="5" t="s">
        <v>40</v>
      </c>
      <c r="E79" s="4" t="s">
        <v>41</v>
      </c>
      <c r="F79" s="4" t="s">
        <v>18</v>
      </c>
      <c r="G79" s="5" t="s">
        <v>90</v>
      </c>
      <c r="H79" s="4">
        <v>2</v>
      </c>
      <c r="I79" s="4">
        <v>180</v>
      </c>
      <c r="J79" s="4">
        <v>360</v>
      </c>
      <c r="K79" s="4" t="s">
        <v>20</v>
      </c>
    </row>
    <row r="80" spans="1:11" ht="15" customHeight="1" x14ac:dyDescent="0.2">
      <c r="A80" s="2" t="s">
        <v>225</v>
      </c>
      <c r="B80" s="2" t="s">
        <v>226</v>
      </c>
      <c r="C80" s="2" t="s">
        <v>46</v>
      </c>
      <c r="D80" s="3" t="s">
        <v>47</v>
      </c>
      <c r="E80" s="2" t="s">
        <v>17</v>
      </c>
      <c r="F80" s="2" t="s">
        <v>26</v>
      </c>
      <c r="G80" s="3" t="s">
        <v>93</v>
      </c>
      <c r="H80" s="2">
        <v>1</v>
      </c>
      <c r="I80" s="2">
        <v>549</v>
      </c>
      <c r="J80" s="2">
        <v>549</v>
      </c>
      <c r="K80" s="2" t="s">
        <v>28</v>
      </c>
    </row>
    <row r="81" spans="1:11" ht="15" customHeight="1" x14ac:dyDescent="0.2">
      <c r="A81" s="4" t="s">
        <v>227</v>
      </c>
      <c r="B81" s="4" t="s">
        <v>228</v>
      </c>
      <c r="C81" s="4" t="s">
        <v>52</v>
      </c>
      <c r="D81" s="5" t="s">
        <v>53</v>
      </c>
      <c r="E81" s="4" t="s">
        <v>25</v>
      </c>
      <c r="F81" s="4" t="s">
        <v>34</v>
      </c>
      <c r="G81" s="5" t="s">
        <v>96</v>
      </c>
      <c r="H81" s="4">
        <v>1</v>
      </c>
      <c r="I81" s="4">
        <v>42</v>
      </c>
      <c r="J81" s="4">
        <v>42</v>
      </c>
      <c r="K81" s="4" t="s">
        <v>36</v>
      </c>
    </row>
    <row r="82" spans="1:11" ht="15" customHeight="1" x14ac:dyDescent="0.2">
      <c r="A82" s="2" t="s">
        <v>229</v>
      </c>
      <c r="B82" s="2" t="s">
        <v>230</v>
      </c>
      <c r="C82" s="2" t="s">
        <v>15</v>
      </c>
      <c r="D82" s="3" t="s">
        <v>57</v>
      </c>
      <c r="E82" s="2" t="s">
        <v>33</v>
      </c>
      <c r="F82" s="2" t="s">
        <v>42</v>
      </c>
      <c r="G82" s="3" t="s">
        <v>99</v>
      </c>
      <c r="H82" s="2">
        <v>2</v>
      </c>
      <c r="I82" s="2">
        <v>349</v>
      </c>
      <c r="J82" s="2">
        <v>698</v>
      </c>
      <c r="K82" s="2" t="s">
        <v>20</v>
      </c>
    </row>
    <row r="83" spans="1:11" ht="15" customHeight="1" x14ac:dyDescent="0.2">
      <c r="A83" s="4" t="s">
        <v>231</v>
      </c>
      <c r="B83" s="4" t="s">
        <v>232</v>
      </c>
      <c r="C83" s="4" t="s">
        <v>23</v>
      </c>
      <c r="D83" s="5" t="s">
        <v>61</v>
      </c>
      <c r="E83" s="4" t="s">
        <v>41</v>
      </c>
      <c r="F83" s="4" t="s">
        <v>48</v>
      </c>
      <c r="G83" s="5" t="s">
        <v>102</v>
      </c>
      <c r="H83" s="4">
        <v>1</v>
      </c>
      <c r="I83" s="4">
        <v>1299</v>
      </c>
      <c r="J83" s="4">
        <v>1299</v>
      </c>
      <c r="K83" s="4" t="s">
        <v>28</v>
      </c>
    </row>
    <row r="84" spans="1:11" ht="15" customHeight="1" x14ac:dyDescent="0.2">
      <c r="A84" s="2" t="s">
        <v>233</v>
      </c>
      <c r="B84" s="2" t="s">
        <v>234</v>
      </c>
      <c r="C84" s="2" t="s">
        <v>31</v>
      </c>
      <c r="D84" s="3" t="s">
        <v>65</v>
      </c>
      <c r="E84" s="2" t="s">
        <v>17</v>
      </c>
      <c r="F84" s="2" t="s">
        <v>18</v>
      </c>
      <c r="G84" s="3" t="s">
        <v>105</v>
      </c>
      <c r="H84" s="2">
        <v>1</v>
      </c>
      <c r="I84" s="2">
        <v>65</v>
      </c>
      <c r="J84" s="2">
        <v>65</v>
      </c>
      <c r="K84" s="2" t="s">
        <v>36</v>
      </c>
    </row>
    <row r="85" spans="1:11" ht="15" customHeight="1" x14ac:dyDescent="0.2">
      <c r="A85" s="4" t="s">
        <v>235</v>
      </c>
      <c r="B85" s="4" t="s">
        <v>236</v>
      </c>
      <c r="C85" s="4" t="s">
        <v>39</v>
      </c>
      <c r="D85" s="5" t="s">
        <v>69</v>
      </c>
      <c r="E85" s="4" t="s">
        <v>25</v>
      </c>
      <c r="F85" s="4" t="s">
        <v>26</v>
      </c>
      <c r="G85" s="5" t="s">
        <v>108</v>
      </c>
      <c r="H85" s="4">
        <v>2</v>
      </c>
      <c r="I85" s="4">
        <v>179</v>
      </c>
      <c r="J85" s="4">
        <v>358</v>
      </c>
      <c r="K85" s="4" t="s">
        <v>20</v>
      </c>
    </row>
    <row r="86" spans="1:11" ht="15" customHeight="1" x14ac:dyDescent="0.2">
      <c r="A86" s="2" t="s">
        <v>237</v>
      </c>
      <c r="B86" s="2" t="s">
        <v>238</v>
      </c>
      <c r="C86" s="2" t="s">
        <v>46</v>
      </c>
      <c r="D86" s="3" t="s">
        <v>73</v>
      </c>
      <c r="E86" s="2" t="s">
        <v>33</v>
      </c>
      <c r="F86" s="2" t="s">
        <v>34</v>
      </c>
      <c r="G86" s="3" t="s">
        <v>111</v>
      </c>
      <c r="H86" s="2">
        <v>1</v>
      </c>
      <c r="I86" s="2">
        <v>38</v>
      </c>
      <c r="J86" s="2">
        <v>38</v>
      </c>
      <c r="K86" s="2" t="s">
        <v>28</v>
      </c>
    </row>
    <row r="87" spans="1:11" ht="15" customHeight="1" x14ac:dyDescent="0.2">
      <c r="A87" s="4" t="s">
        <v>239</v>
      </c>
      <c r="B87" s="4" t="s">
        <v>240</v>
      </c>
      <c r="C87" s="4" t="s">
        <v>52</v>
      </c>
      <c r="D87" s="5" t="s">
        <v>77</v>
      </c>
      <c r="E87" s="4" t="s">
        <v>41</v>
      </c>
      <c r="F87" s="4" t="s">
        <v>42</v>
      </c>
      <c r="G87" s="5" t="s">
        <v>114</v>
      </c>
      <c r="H87" s="4">
        <v>3</v>
      </c>
      <c r="I87" s="4">
        <v>1495</v>
      </c>
      <c r="J87" s="4">
        <v>4485</v>
      </c>
      <c r="K87" s="4" t="s">
        <v>36</v>
      </c>
    </row>
    <row r="88" spans="1:11" ht="15" customHeight="1" x14ac:dyDescent="0.2">
      <c r="A88" s="2" t="s">
        <v>241</v>
      </c>
      <c r="B88" s="2" t="s">
        <v>14</v>
      </c>
      <c r="C88" s="2" t="s">
        <v>15</v>
      </c>
      <c r="D88" s="3" t="s">
        <v>16</v>
      </c>
      <c r="E88" s="2" t="s">
        <v>17</v>
      </c>
      <c r="F88" s="2" t="s">
        <v>48</v>
      </c>
      <c r="G88" s="3" t="s">
        <v>117</v>
      </c>
      <c r="H88" s="2">
        <v>1</v>
      </c>
      <c r="I88" s="2">
        <v>1999</v>
      </c>
      <c r="J88" s="2">
        <v>1999</v>
      </c>
      <c r="K88" s="2" t="s">
        <v>20</v>
      </c>
    </row>
    <row r="89" spans="1:11" ht="15" customHeight="1" x14ac:dyDescent="0.2">
      <c r="A89" s="4" t="s">
        <v>242</v>
      </c>
      <c r="B89" s="4" t="s">
        <v>22</v>
      </c>
      <c r="C89" s="4" t="s">
        <v>23</v>
      </c>
      <c r="D89" s="5" t="s">
        <v>24</v>
      </c>
      <c r="E89" s="4" t="s">
        <v>25</v>
      </c>
      <c r="F89" s="4" t="s">
        <v>18</v>
      </c>
      <c r="G89" s="5" t="s">
        <v>120</v>
      </c>
      <c r="H89" s="4">
        <v>2</v>
      </c>
      <c r="I89" s="4">
        <v>110</v>
      </c>
      <c r="J89" s="4">
        <v>220</v>
      </c>
      <c r="K89" s="4" t="s">
        <v>28</v>
      </c>
    </row>
    <row r="90" spans="1:11" ht="15" customHeight="1" x14ac:dyDescent="0.2">
      <c r="A90" s="2" t="s">
        <v>243</v>
      </c>
      <c r="B90" s="2" t="s">
        <v>30</v>
      </c>
      <c r="C90" s="2" t="s">
        <v>31</v>
      </c>
      <c r="D90" s="3" t="s">
        <v>32</v>
      </c>
      <c r="E90" s="2" t="s">
        <v>33</v>
      </c>
      <c r="F90" s="2" t="s">
        <v>26</v>
      </c>
      <c r="G90" s="3" t="s">
        <v>123</v>
      </c>
      <c r="H90" s="2">
        <v>1</v>
      </c>
      <c r="I90" s="2">
        <v>149</v>
      </c>
      <c r="J90" s="2">
        <v>149</v>
      </c>
      <c r="K90" s="2" t="s">
        <v>36</v>
      </c>
    </row>
    <row r="91" spans="1:11" ht="15" customHeight="1" x14ac:dyDescent="0.2">
      <c r="A91" s="4" t="s">
        <v>244</v>
      </c>
      <c r="B91" s="4" t="s">
        <v>38</v>
      </c>
      <c r="C91" s="4" t="s">
        <v>39</v>
      </c>
      <c r="D91" s="5" t="s">
        <v>40</v>
      </c>
      <c r="E91" s="4" t="s">
        <v>41</v>
      </c>
      <c r="F91" s="4" t="s">
        <v>34</v>
      </c>
      <c r="G91" s="5" t="s">
        <v>126</v>
      </c>
      <c r="H91" s="4">
        <v>1</v>
      </c>
      <c r="I91" s="4">
        <v>185</v>
      </c>
      <c r="J91" s="4">
        <v>185</v>
      </c>
      <c r="K91" s="4" t="s">
        <v>20</v>
      </c>
    </row>
    <row r="92" spans="1:11" ht="15" customHeight="1" x14ac:dyDescent="0.2">
      <c r="A92" s="2" t="s">
        <v>245</v>
      </c>
      <c r="B92" s="2" t="s">
        <v>45</v>
      </c>
      <c r="C92" s="2" t="s">
        <v>46</v>
      </c>
      <c r="D92" s="3" t="s">
        <v>47</v>
      </c>
      <c r="E92" s="2" t="s">
        <v>17</v>
      </c>
      <c r="F92" s="2" t="s">
        <v>42</v>
      </c>
      <c r="G92" s="3" t="s">
        <v>129</v>
      </c>
      <c r="H92" s="2">
        <v>2</v>
      </c>
      <c r="I92" s="2">
        <v>149</v>
      </c>
      <c r="J92" s="2">
        <v>298</v>
      </c>
      <c r="K92" s="2" t="s">
        <v>28</v>
      </c>
    </row>
    <row r="93" spans="1:11" ht="15" customHeight="1" x14ac:dyDescent="0.2">
      <c r="A93" s="4" t="s">
        <v>246</v>
      </c>
      <c r="B93" s="4" t="s">
        <v>51</v>
      </c>
      <c r="C93" s="4" t="s">
        <v>52</v>
      </c>
      <c r="D93" s="5" t="s">
        <v>53</v>
      </c>
      <c r="E93" s="4" t="s">
        <v>25</v>
      </c>
      <c r="F93" s="4" t="s">
        <v>48</v>
      </c>
      <c r="G93" s="5" t="s">
        <v>132</v>
      </c>
      <c r="H93" s="4">
        <v>1</v>
      </c>
      <c r="I93" s="4">
        <v>999</v>
      </c>
      <c r="J93" s="4">
        <v>999</v>
      </c>
      <c r="K93" s="4" t="s">
        <v>36</v>
      </c>
    </row>
    <row r="94" spans="1:11" ht="15" customHeight="1" x14ac:dyDescent="0.2">
      <c r="A94" s="2" t="s">
        <v>247</v>
      </c>
      <c r="B94" s="2" t="s">
        <v>56</v>
      </c>
      <c r="C94" s="2" t="s">
        <v>15</v>
      </c>
      <c r="D94" s="3" t="s">
        <v>57</v>
      </c>
      <c r="E94" s="2" t="s">
        <v>33</v>
      </c>
      <c r="F94" s="2" t="s">
        <v>18</v>
      </c>
      <c r="G94" s="3" t="s">
        <v>19</v>
      </c>
      <c r="H94" s="2">
        <v>1</v>
      </c>
      <c r="I94" s="2">
        <v>79</v>
      </c>
      <c r="J94" s="2">
        <v>79</v>
      </c>
      <c r="K94" s="2" t="s">
        <v>20</v>
      </c>
    </row>
    <row r="95" spans="1:11" ht="15" customHeight="1" x14ac:dyDescent="0.2">
      <c r="A95" s="4" t="s">
        <v>248</v>
      </c>
      <c r="B95" s="4" t="s">
        <v>60</v>
      </c>
      <c r="C95" s="4" t="s">
        <v>23</v>
      </c>
      <c r="D95" s="5" t="s">
        <v>61</v>
      </c>
      <c r="E95" s="4" t="s">
        <v>41</v>
      </c>
      <c r="F95" s="4" t="s">
        <v>26</v>
      </c>
      <c r="G95" s="5" t="s">
        <v>27</v>
      </c>
      <c r="H95" s="4">
        <v>2</v>
      </c>
      <c r="I95" s="4">
        <v>129</v>
      </c>
      <c r="J95" s="4">
        <v>258</v>
      </c>
      <c r="K95" s="4" t="s">
        <v>28</v>
      </c>
    </row>
    <row r="96" spans="1:11" ht="15" customHeight="1" x14ac:dyDescent="0.2">
      <c r="A96" s="2" t="s">
        <v>249</v>
      </c>
      <c r="B96" s="2" t="s">
        <v>64</v>
      </c>
      <c r="C96" s="2" t="s">
        <v>31</v>
      </c>
      <c r="D96" s="3" t="s">
        <v>65</v>
      </c>
      <c r="E96" s="2" t="s">
        <v>17</v>
      </c>
      <c r="F96" s="2" t="s">
        <v>34</v>
      </c>
      <c r="G96" s="3" t="s">
        <v>35</v>
      </c>
      <c r="H96" s="2">
        <v>1</v>
      </c>
      <c r="I96" s="2">
        <v>88</v>
      </c>
      <c r="J96" s="2">
        <v>88</v>
      </c>
      <c r="K96" s="2" t="s">
        <v>36</v>
      </c>
    </row>
    <row r="97" spans="1:14" ht="15" customHeight="1" x14ac:dyDescent="0.2">
      <c r="A97" s="4" t="s">
        <v>250</v>
      </c>
      <c r="B97" s="4" t="s">
        <v>68</v>
      </c>
      <c r="C97" s="4" t="s">
        <v>39</v>
      </c>
      <c r="D97" s="5" t="s">
        <v>69</v>
      </c>
      <c r="E97" s="4" t="s">
        <v>25</v>
      </c>
      <c r="F97" s="4" t="s">
        <v>42</v>
      </c>
      <c r="G97" s="5" t="s">
        <v>43</v>
      </c>
      <c r="H97" s="4">
        <v>3</v>
      </c>
      <c r="I97" s="4">
        <v>179</v>
      </c>
      <c r="J97" s="4">
        <v>537</v>
      </c>
      <c r="K97" s="4" t="s">
        <v>20</v>
      </c>
    </row>
    <row r="98" spans="1:14" ht="15" customHeight="1" x14ac:dyDescent="0.2">
      <c r="A98" s="2" t="s">
        <v>251</v>
      </c>
      <c r="B98" s="2" t="s">
        <v>72</v>
      </c>
      <c r="C98" s="2" t="s">
        <v>46</v>
      </c>
      <c r="D98" s="3" t="s">
        <v>73</v>
      </c>
      <c r="E98" s="2" t="s">
        <v>33</v>
      </c>
      <c r="F98" s="2" t="s">
        <v>48</v>
      </c>
      <c r="G98" s="3" t="s">
        <v>49</v>
      </c>
      <c r="H98" s="2">
        <v>1</v>
      </c>
      <c r="I98" s="2">
        <v>349</v>
      </c>
      <c r="J98" s="2">
        <v>349</v>
      </c>
      <c r="K98" s="2" t="s">
        <v>28</v>
      </c>
    </row>
    <row r="99" spans="1:14" ht="15" customHeight="1" x14ac:dyDescent="0.2">
      <c r="A99" s="4" t="s">
        <v>252</v>
      </c>
      <c r="B99" s="4" t="s">
        <v>76</v>
      </c>
      <c r="C99" s="4" t="s">
        <v>52</v>
      </c>
      <c r="D99" s="5" t="s">
        <v>77</v>
      </c>
      <c r="E99" s="4" t="s">
        <v>41</v>
      </c>
      <c r="F99" s="4" t="s">
        <v>18</v>
      </c>
      <c r="G99" s="5" t="s">
        <v>54</v>
      </c>
      <c r="H99" s="4">
        <v>2</v>
      </c>
      <c r="I99" s="4">
        <v>89</v>
      </c>
      <c r="J99" s="4">
        <v>178</v>
      </c>
      <c r="K99" s="4" t="s">
        <v>36</v>
      </c>
    </row>
    <row r="100" spans="1:14" ht="15" customHeight="1" x14ac:dyDescent="0.2">
      <c r="A100" s="2" t="s">
        <v>253</v>
      </c>
      <c r="B100" s="2" t="s">
        <v>80</v>
      </c>
      <c r="C100" s="2" t="s">
        <v>15</v>
      </c>
      <c r="D100" s="3" t="s">
        <v>16</v>
      </c>
      <c r="E100" s="2" t="s">
        <v>17</v>
      </c>
      <c r="F100" s="2" t="s">
        <v>26</v>
      </c>
      <c r="G100" s="3" t="s">
        <v>58</v>
      </c>
      <c r="H100" s="2">
        <v>1</v>
      </c>
      <c r="I100" s="2">
        <v>399</v>
      </c>
      <c r="J100" s="2">
        <v>399</v>
      </c>
      <c r="K100" s="2" t="s">
        <v>20</v>
      </c>
    </row>
    <row r="101" spans="1:14" ht="15" customHeight="1" x14ac:dyDescent="0.2">
      <c r="A101" s="4" t="s">
        <v>254</v>
      </c>
      <c r="B101" s="4" t="s">
        <v>83</v>
      </c>
      <c r="C101" s="4" t="s">
        <v>23</v>
      </c>
      <c r="D101" s="5" t="s">
        <v>24</v>
      </c>
      <c r="E101" s="4" t="s">
        <v>25</v>
      </c>
      <c r="F101" s="4" t="s">
        <v>34</v>
      </c>
      <c r="G101" s="5" t="s">
        <v>62</v>
      </c>
      <c r="H101" s="4">
        <v>1</v>
      </c>
      <c r="I101" s="4">
        <v>24</v>
      </c>
      <c r="J101" s="4">
        <v>24</v>
      </c>
      <c r="K101" s="4" t="s">
        <v>28</v>
      </c>
    </row>
    <row r="102" spans="1:14" ht="15" customHeight="1" x14ac:dyDescent="0.2">
      <c r="A102" s="2" t="s">
        <v>255</v>
      </c>
      <c r="B102" s="2" t="s">
        <v>86</v>
      </c>
      <c r="C102" s="2" t="s">
        <v>31</v>
      </c>
      <c r="D102" s="3" t="s">
        <v>32</v>
      </c>
      <c r="E102" s="2" t="s">
        <v>33</v>
      </c>
      <c r="F102" s="2" t="s">
        <v>42</v>
      </c>
      <c r="G102" s="3" t="s">
        <v>66</v>
      </c>
      <c r="H102" s="2">
        <v>2</v>
      </c>
      <c r="I102" s="2">
        <v>249</v>
      </c>
      <c r="J102" s="2">
        <v>498</v>
      </c>
      <c r="K102" s="2" t="s">
        <v>36</v>
      </c>
    </row>
    <row r="103" spans="1:14" ht="15" customHeight="1" x14ac:dyDescent="0.2">
      <c r="A103" s="4" t="s">
        <v>256</v>
      </c>
      <c r="B103" s="4" t="s">
        <v>89</v>
      </c>
      <c r="C103" s="4" t="s">
        <v>39</v>
      </c>
      <c r="D103" s="5" t="s">
        <v>40</v>
      </c>
      <c r="E103" s="4" t="s">
        <v>41</v>
      </c>
      <c r="F103" s="4" t="s">
        <v>48</v>
      </c>
      <c r="G103" s="5" t="s">
        <v>70</v>
      </c>
      <c r="H103" s="4">
        <v>1</v>
      </c>
      <c r="I103" s="4">
        <v>1099</v>
      </c>
      <c r="J103" s="4">
        <v>1099</v>
      </c>
      <c r="K103" s="4" t="s">
        <v>20</v>
      </c>
    </row>
    <row r="104" spans="1:14" ht="15" customHeight="1" x14ac:dyDescent="0.2">
      <c r="A104" s="2" t="s">
        <v>257</v>
      </c>
      <c r="B104" s="2" t="s">
        <v>92</v>
      </c>
      <c r="C104" s="2" t="s">
        <v>46</v>
      </c>
      <c r="D104" s="3" t="s">
        <v>47</v>
      </c>
      <c r="E104" s="2" t="s">
        <v>17</v>
      </c>
      <c r="F104" s="2" t="s">
        <v>18</v>
      </c>
      <c r="G104" s="3" t="s">
        <v>74</v>
      </c>
      <c r="H104" s="2">
        <v>1</v>
      </c>
      <c r="I104" s="2">
        <v>95</v>
      </c>
      <c r="J104" s="2">
        <v>95</v>
      </c>
      <c r="K104" s="2" t="s">
        <v>28</v>
      </c>
    </row>
    <row r="105" spans="1:14" ht="15" customHeight="1" x14ac:dyDescent="0.2">
      <c r="A105" s="4" t="s">
        <v>258</v>
      </c>
      <c r="B105" s="4" t="s">
        <v>95</v>
      </c>
      <c r="C105" s="4" t="s">
        <v>52</v>
      </c>
      <c r="D105" s="5" t="s">
        <v>53</v>
      </c>
      <c r="E105" s="4" t="s">
        <v>25</v>
      </c>
      <c r="F105" s="4" t="s">
        <v>26</v>
      </c>
      <c r="G105" s="5" t="s">
        <v>78</v>
      </c>
      <c r="H105" s="4">
        <v>2</v>
      </c>
      <c r="I105" s="4">
        <v>549</v>
      </c>
      <c r="J105" s="4">
        <v>1098</v>
      </c>
      <c r="K105" s="4" t="s">
        <v>36</v>
      </c>
    </row>
    <row r="106" spans="1:14" ht="15" customHeight="1" x14ac:dyDescent="0.2">
      <c r="A106" s="2" t="s">
        <v>259</v>
      </c>
      <c r="B106" s="2" t="s">
        <v>98</v>
      </c>
      <c r="C106" s="2" t="s">
        <v>15</v>
      </c>
      <c r="D106" s="3" t="s">
        <v>57</v>
      </c>
      <c r="E106" s="2" t="s">
        <v>33</v>
      </c>
      <c r="F106" s="2" t="s">
        <v>34</v>
      </c>
      <c r="G106" s="3" t="s">
        <v>81</v>
      </c>
      <c r="H106" s="2">
        <v>1</v>
      </c>
      <c r="I106" s="2">
        <v>125</v>
      </c>
      <c r="J106" s="2">
        <v>125</v>
      </c>
      <c r="K106" s="2" t="s">
        <v>20</v>
      </c>
    </row>
    <row r="107" spans="1:14" ht="15" customHeight="1" x14ac:dyDescent="0.2">
      <c r="A107" s="4" t="s">
        <v>260</v>
      </c>
      <c r="B107" s="4" t="s">
        <v>101</v>
      </c>
      <c r="C107" s="4" t="s">
        <v>23</v>
      </c>
      <c r="D107" s="5" t="s">
        <v>61</v>
      </c>
      <c r="E107" s="4" t="s">
        <v>41</v>
      </c>
      <c r="F107" s="4" t="s">
        <v>42</v>
      </c>
      <c r="G107" s="5" t="s">
        <v>84</v>
      </c>
      <c r="H107" s="4">
        <v>3</v>
      </c>
      <c r="I107" s="4">
        <v>299</v>
      </c>
      <c r="J107" s="4">
        <v>897</v>
      </c>
      <c r="K107" s="4" t="s">
        <v>28</v>
      </c>
    </row>
    <row r="108" spans="1:14" ht="15" customHeight="1" x14ac:dyDescent="0.2">
      <c r="A108" s="2" t="s">
        <v>261</v>
      </c>
      <c r="B108" s="2" t="s">
        <v>104</v>
      </c>
      <c r="C108" s="2" t="s">
        <v>31</v>
      </c>
      <c r="D108" s="3" t="s">
        <v>65</v>
      </c>
      <c r="E108" s="2" t="s">
        <v>17</v>
      </c>
      <c r="F108" s="2" t="s">
        <v>48</v>
      </c>
      <c r="G108" s="3" t="s">
        <v>87</v>
      </c>
      <c r="H108" s="2">
        <v>1</v>
      </c>
      <c r="I108" s="2">
        <v>249</v>
      </c>
      <c r="J108" s="2">
        <v>249</v>
      </c>
      <c r="K108" s="2" t="s">
        <v>36</v>
      </c>
    </row>
    <row r="109" spans="1:14" ht="15" customHeight="1" x14ac:dyDescent="0.2">
      <c r="A109" s="4" t="s">
        <v>262</v>
      </c>
      <c r="B109" s="4" t="s">
        <v>107</v>
      </c>
      <c r="C109" s="4" t="s">
        <v>39</v>
      </c>
      <c r="D109" s="5" t="s">
        <v>69</v>
      </c>
      <c r="E109" s="4" t="s">
        <v>25</v>
      </c>
      <c r="F109" s="4" t="s">
        <v>18</v>
      </c>
      <c r="G109" s="5" t="s">
        <v>90</v>
      </c>
      <c r="H109" s="4">
        <v>2</v>
      </c>
      <c r="I109" s="4">
        <v>180</v>
      </c>
      <c r="J109" s="4">
        <v>360</v>
      </c>
      <c r="K109" s="4" t="s">
        <v>20</v>
      </c>
    </row>
    <row r="110" spans="1:14" ht="15" customHeight="1" x14ac:dyDescent="0.2">
      <c r="A110" s="2" t="s">
        <v>263</v>
      </c>
      <c r="B110" s="2" t="s">
        <v>110</v>
      </c>
      <c r="C110" s="2" t="s">
        <v>46</v>
      </c>
      <c r="D110" s="3" t="s">
        <v>73</v>
      </c>
      <c r="E110" s="2" t="s">
        <v>33</v>
      </c>
      <c r="F110" s="2" t="s">
        <v>26</v>
      </c>
      <c r="G110" s="3" t="s">
        <v>93</v>
      </c>
      <c r="H110" s="2">
        <v>1</v>
      </c>
      <c r="I110" s="2">
        <v>549</v>
      </c>
      <c r="J110" s="2">
        <v>549</v>
      </c>
      <c r="K110" s="2" t="s">
        <v>28</v>
      </c>
    </row>
    <row r="111" spans="1:14" ht="15" customHeight="1" x14ac:dyDescent="0.2">
      <c r="A111" s="4" t="s">
        <v>264</v>
      </c>
      <c r="B111" s="4" t="s">
        <v>113</v>
      </c>
      <c r="C111" s="4" t="s">
        <v>52</v>
      </c>
      <c r="D111" s="5" t="s">
        <v>77</v>
      </c>
      <c r="E111" s="4" t="s">
        <v>41</v>
      </c>
      <c r="F111" s="4" t="s">
        <v>34</v>
      </c>
      <c r="G111" s="5" t="s">
        <v>96</v>
      </c>
      <c r="H111" s="4">
        <v>1</v>
      </c>
      <c r="I111" s="4">
        <v>42</v>
      </c>
      <c r="J111" s="4">
        <v>42</v>
      </c>
      <c r="K111" s="4" t="s">
        <v>36</v>
      </c>
    </row>
    <row r="112" spans="1:14" ht="15" customHeight="1" x14ac:dyDescent="0.2">
      <c r="A112" s="2" t="s">
        <v>265</v>
      </c>
      <c r="B112" s="2" t="s">
        <v>116</v>
      </c>
      <c r="C112" s="2" t="s">
        <v>15</v>
      </c>
      <c r="D112" s="3" t="s">
        <v>16</v>
      </c>
      <c r="E112" s="2" t="s">
        <v>17</v>
      </c>
      <c r="F112" s="2" t="s">
        <v>42</v>
      </c>
      <c r="G112" s="3" t="s">
        <v>99</v>
      </c>
      <c r="H112" s="2">
        <v>2</v>
      </c>
      <c r="I112" s="2">
        <v>349</v>
      </c>
      <c r="J112" s="16">
        <v>698</v>
      </c>
      <c r="K112" s="2" t="s">
        <v>20</v>
      </c>
      <c r="N112" s="2"/>
    </row>
    <row r="113" spans="1:11" ht="15" customHeight="1" x14ac:dyDescent="0.2">
      <c r="A113" s="4" t="s">
        <v>266</v>
      </c>
      <c r="B113" s="4" t="s">
        <v>119</v>
      </c>
      <c r="C113" s="4" t="s">
        <v>23</v>
      </c>
      <c r="D113" s="5" t="s">
        <v>24</v>
      </c>
      <c r="E113" s="4" t="s">
        <v>25</v>
      </c>
      <c r="F113" s="4" t="s">
        <v>48</v>
      </c>
      <c r="G113" s="5" t="s">
        <v>102</v>
      </c>
      <c r="H113" s="4">
        <v>1</v>
      </c>
      <c r="I113" s="4">
        <v>1299</v>
      </c>
      <c r="J113" s="4">
        <v>1299</v>
      </c>
      <c r="K113" s="4" t="s">
        <v>28</v>
      </c>
    </row>
    <row r="114" spans="1:11" ht="15" customHeight="1" x14ac:dyDescent="0.2">
      <c r="A114" s="2" t="s">
        <v>267</v>
      </c>
      <c r="B114" s="2" t="s">
        <v>122</v>
      </c>
      <c r="C114" s="2" t="s">
        <v>31</v>
      </c>
      <c r="D114" s="3" t="s">
        <v>32</v>
      </c>
      <c r="E114" s="2" t="s">
        <v>33</v>
      </c>
      <c r="F114" s="2" t="s">
        <v>18</v>
      </c>
      <c r="G114" s="3" t="s">
        <v>105</v>
      </c>
      <c r="H114" s="2">
        <v>1</v>
      </c>
      <c r="I114" s="2">
        <v>65</v>
      </c>
      <c r="J114" s="2">
        <v>65</v>
      </c>
      <c r="K114" s="2" t="s">
        <v>36</v>
      </c>
    </row>
    <row r="115" spans="1:11" ht="15" customHeight="1" x14ac:dyDescent="0.2">
      <c r="A115" s="4" t="s">
        <v>268</v>
      </c>
      <c r="B115" s="4" t="s">
        <v>125</v>
      </c>
      <c r="C115" s="4" t="s">
        <v>39</v>
      </c>
      <c r="D115" s="5" t="s">
        <v>40</v>
      </c>
      <c r="E115" s="4" t="s">
        <v>41</v>
      </c>
      <c r="F115" s="4" t="s">
        <v>26</v>
      </c>
      <c r="G115" s="5" t="s">
        <v>108</v>
      </c>
      <c r="H115" s="4">
        <v>2</v>
      </c>
      <c r="I115" s="4">
        <v>179</v>
      </c>
      <c r="J115" s="4">
        <v>358</v>
      </c>
      <c r="K115" s="4" t="s">
        <v>20</v>
      </c>
    </row>
    <row r="116" spans="1:11" ht="15" customHeight="1" x14ac:dyDescent="0.2">
      <c r="A116" s="2" t="s">
        <v>269</v>
      </c>
      <c r="B116" s="2" t="s">
        <v>128</v>
      </c>
      <c r="C116" s="2" t="s">
        <v>46</v>
      </c>
      <c r="D116" s="3" t="s">
        <v>47</v>
      </c>
      <c r="E116" s="2" t="s">
        <v>17</v>
      </c>
      <c r="F116" s="2" t="s">
        <v>34</v>
      </c>
      <c r="G116" s="3" t="s">
        <v>111</v>
      </c>
      <c r="H116" s="2">
        <v>1</v>
      </c>
      <c r="I116" s="2">
        <v>38</v>
      </c>
      <c r="J116" s="2">
        <v>38</v>
      </c>
      <c r="K116" s="2" t="s">
        <v>28</v>
      </c>
    </row>
    <row r="117" spans="1:11" ht="15" customHeight="1" x14ac:dyDescent="0.2">
      <c r="A117" s="4" t="s">
        <v>270</v>
      </c>
      <c r="B117" s="4" t="s">
        <v>131</v>
      </c>
      <c r="C117" s="4" t="s">
        <v>52</v>
      </c>
      <c r="D117" s="5" t="s">
        <v>53</v>
      </c>
      <c r="E117" s="4" t="s">
        <v>25</v>
      </c>
      <c r="F117" s="4" t="s">
        <v>42</v>
      </c>
      <c r="G117" s="5" t="s">
        <v>114</v>
      </c>
      <c r="H117" s="4">
        <v>3</v>
      </c>
      <c r="I117" s="4">
        <v>1495</v>
      </c>
      <c r="J117" s="4">
        <v>4485</v>
      </c>
      <c r="K117" s="4" t="s">
        <v>36</v>
      </c>
    </row>
    <row r="118" spans="1:11" ht="15" customHeight="1" x14ac:dyDescent="0.2">
      <c r="A118" s="2" t="s">
        <v>271</v>
      </c>
      <c r="B118" s="2" t="s">
        <v>134</v>
      </c>
      <c r="C118" s="2" t="s">
        <v>15</v>
      </c>
      <c r="D118" s="3" t="s">
        <v>57</v>
      </c>
      <c r="E118" s="2" t="s">
        <v>33</v>
      </c>
      <c r="F118" s="2" t="s">
        <v>48</v>
      </c>
      <c r="G118" s="3" t="s">
        <v>117</v>
      </c>
      <c r="H118" s="2">
        <v>1</v>
      </c>
      <c r="I118" s="2">
        <v>1999</v>
      </c>
      <c r="J118" s="2">
        <v>1999</v>
      </c>
      <c r="K118" s="2" t="s">
        <v>20</v>
      </c>
    </row>
    <row r="119" spans="1:11" ht="15" customHeight="1" x14ac:dyDescent="0.2">
      <c r="A119" s="4" t="s">
        <v>272</v>
      </c>
      <c r="B119" s="4" t="s">
        <v>136</v>
      </c>
      <c r="C119" s="4" t="s">
        <v>23</v>
      </c>
      <c r="D119" s="5" t="s">
        <v>61</v>
      </c>
      <c r="E119" s="4" t="s">
        <v>41</v>
      </c>
      <c r="F119" s="4" t="s">
        <v>18</v>
      </c>
      <c r="G119" s="5" t="s">
        <v>120</v>
      </c>
      <c r="H119" s="4">
        <v>2</v>
      </c>
      <c r="I119" s="4">
        <v>110</v>
      </c>
      <c r="J119" s="4">
        <v>220</v>
      </c>
      <c r="K119" s="4" t="s">
        <v>28</v>
      </c>
    </row>
    <row r="120" spans="1:11" ht="15" customHeight="1" x14ac:dyDescent="0.2">
      <c r="A120" s="2" t="s">
        <v>273</v>
      </c>
      <c r="B120" s="2" t="s">
        <v>138</v>
      </c>
      <c r="C120" s="2" t="s">
        <v>31</v>
      </c>
      <c r="D120" s="3" t="s">
        <v>65</v>
      </c>
      <c r="E120" s="2" t="s">
        <v>17</v>
      </c>
      <c r="F120" s="2" t="s">
        <v>26</v>
      </c>
      <c r="G120" s="3" t="s">
        <v>123</v>
      </c>
      <c r="H120" s="2">
        <v>1</v>
      </c>
      <c r="I120" s="2">
        <v>149</v>
      </c>
      <c r="J120" s="2">
        <v>149</v>
      </c>
      <c r="K120" s="2" t="s">
        <v>36</v>
      </c>
    </row>
    <row r="121" spans="1:11" ht="15" customHeight="1" x14ac:dyDescent="0.2">
      <c r="A121" s="4" t="s">
        <v>274</v>
      </c>
      <c r="B121" s="4" t="s">
        <v>140</v>
      </c>
      <c r="C121" s="4" t="s">
        <v>39</v>
      </c>
      <c r="D121" s="5" t="s">
        <v>69</v>
      </c>
      <c r="E121" s="4" t="s">
        <v>25</v>
      </c>
      <c r="F121" s="4" t="s">
        <v>34</v>
      </c>
      <c r="G121" s="5" t="s">
        <v>126</v>
      </c>
      <c r="H121" s="4">
        <v>1</v>
      </c>
      <c r="I121" s="4">
        <v>185</v>
      </c>
      <c r="J121" s="4">
        <v>185</v>
      </c>
      <c r="K121" s="4" t="s">
        <v>20</v>
      </c>
    </row>
    <row r="122" spans="1:11" ht="15" customHeight="1" x14ac:dyDescent="0.2">
      <c r="A122" s="2" t="s">
        <v>275</v>
      </c>
      <c r="B122" s="2" t="s">
        <v>142</v>
      </c>
      <c r="C122" s="2" t="s">
        <v>46</v>
      </c>
      <c r="D122" s="3" t="s">
        <v>73</v>
      </c>
      <c r="E122" s="2" t="s">
        <v>33</v>
      </c>
      <c r="F122" s="2" t="s">
        <v>42</v>
      </c>
      <c r="G122" s="3" t="s">
        <v>129</v>
      </c>
      <c r="H122" s="2">
        <v>2</v>
      </c>
      <c r="I122" s="2">
        <v>149</v>
      </c>
      <c r="J122" s="2">
        <v>298</v>
      </c>
      <c r="K122" s="2" t="s">
        <v>28</v>
      </c>
    </row>
    <row r="123" spans="1:11" ht="15" customHeight="1" x14ac:dyDescent="0.2">
      <c r="A123" s="4" t="s">
        <v>276</v>
      </c>
      <c r="B123" s="4" t="s">
        <v>144</v>
      </c>
      <c r="C123" s="4" t="s">
        <v>52</v>
      </c>
      <c r="D123" s="5" t="s">
        <v>77</v>
      </c>
      <c r="E123" s="4" t="s">
        <v>41</v>
      </c>
      <c r="F123" s="4" t="s">
        <v>48</v>
      </c>
      <c r="G123" s="5" t="s">
        <v>132</v>
      </c>
      <c r="H123" s="4">
        <v>1</v>
      </c>
      <c r="I123" s="4">
        <v>999</v>
      </c>
      <c r="J123" s="4">
        <v>999</v>
      </c>
      <c r="K123" s="4" t="s">
        <v>36</v>
      </c>
    </row>
    <row r="124" spans="1:11" ht="15" customHeight="1" x14ac:dyDescent="0.2">
      <c r="A124" s="2" t="s">
        <v>277</v>
      </c>
      <c r="B124" s="2" t="s">
        <v>146</v>
      </c>
      <c r="C124" s="2" t="s">
        <v>15</v>
      </c>
      <c r="D124" s="3" t="s">
        <v>16</v>
      </c>
      <c r="E124" s="2" t="s">
        <v>17</v>
      </c>
      <c r="F124" s="2" t="s">
        <v>18</v>
      </c>
      <c r="G124" s="3" t="s">
        <v>19</v>
      </c>
      <c r="H124" s="2">
        <v>1</v>
      </c>
      <c r="I124" s="2">
        <v>79</v>
      </c>
      <c r="J124" s="2">
        <v>79</v>
      </c>
      <c r="K124" s="2" t="s">
        <v>20</v>
      </c>
    </row>
    <row r="125" spans="1:11" ht="15" customHeight="1" x14ac:dyDescent="0.2">
      <c r="A125" s="4" t="s">
        <v>278</v>
      </c>
      <c r="B125" s="4" t="s">
        <v>148</v>
      </c>
      <c r="C125" s="4" t="s">
        <v>23</v>
      </c>
      <c r="D125" s="5" t="s">
        <v>24</v>
      </c>
      <c r="E125" s="4" t="s">
        <v>25</v>
      </c>
      <c r="F125" s="4" t="s">
        <v>26</v>
      </c>
      <c r="G125" s="5" t="s">
        <v>27</v>
      </c>
      <c r="H125" s="4">
        <v>2</v>
      </c>
      <c r="I125" s="4">
        <v>129</v>
      </c>
      <c r="J125" s="4">
        <v>258</v>
      </c>
      <c r="K125" s="4" t="s">
        <v>28</v>
      </c>
    </row>
    <row r="126" spans="1:11" ht="15" customHeight="1" x14ac:dyDescent="0.2">
      <c r="A126" s="2" t="s">
        <v>279</v>
      </c>
      <c r="B126" s="2" t="s">
        <v>150</v>
      </c>
      <c r="C126" s="2" t="s">
        <v>31</v>
      </c>
      <c r="D126" s="3" t="s">
        <v>32</v>
      </c>
      <c r="E126" s="2" t="s">
        <v>33</v>
      </c>
      <c r="F126" s="2" t="s">
        <v>34</v>
      </c>
      <c r="G126" s="3" t="s">
        <v>35</v>
      </c>
      <c r="H126" s="2">
        <v>1</v>
      </c>
      <c r="I126" s="2">
        <v>88</v>
      </c>
      <c r="J126" s="2">
        <v>88</v>
      </c>
      <c r="K126" s="2" t="s">
        <v>36</v>
      </c>
    </row>
    <row r="127" spans="1:11" ht="15" customHeight="1" x14ac:dyDescent="0.2">
      <c r="A127" s="4" t="s">
        <v>280</v>
      </c>
      <c r="B127" s="4" t="s">
        <v>152</v>
      </c>
      <c r="C127" s="4" t="s">
        <v>39</v>
      </c>
      <c r="D127" s="5" t="s">
        <v>40</v>
      </c>
      <c r="E127" s="4" t="s">
        <v>41</v>
      </c>
      <c r="F127" s="4" t="s">
        <v>42</v>
      </c>
      <c r="G127" s="5" t="s">
        <v>43</v>
      </c>
      <c r="H127" s="4">
        <v>3</v>
      </c>
      <c r="I127" s="4">
        <v>179</v>
      </c>
      <c r="J127" s="4">
        <v>537</v>
      </c>
      <c r="K127" s="4" t="s">
        <v>20</v>
      </c>
    </row>
    <row r="128" spans="1:11" ht="15" customHeight="1" x14ac:dyDescent="0.2">
      <c r="A128" s="2" t="s">
        <v>281</v>
      </c>
      <c r="B128" s="2" t="s">
        <v>154</v>
      </c>
      <c r="C128" s="2" t="s">
        <v>46</v>
      </c>
      <c r="D128" s="3" t="s">
        <v>47</v>
      </c>
      <c r="E128" s="2" t="s">
        <v>17</v>
      </c>
      <c r="F128" s="2" t="s">
        <v>48</v>
      </c>
      <c r="G128" s="3" t="s">
        <v>49</v>
      </c>
      <c r="H128" s="2">
        <v>1</v>
      </c>
      <c r="I128" s="2">
        <v>349</v>
      </c>
      <c r="J128" s="2">
        <v>349</v>
      </c>
      <c r="K128" s="2" t="s">
        <v>28</v>
      </c>
    </row>
    <row r="129" spans="1:11" ht="15" customHeight="1" x14ac:dyDescent="0.2">
      <c r="A129" s="4" t="s">
        <v>282</v>
      </c>
      <c r="B129" s="4" t="s">
        <v>156</v>
      </c>
      <c r="C129" s="4" t="s">
        <v>52</v>
      </c>
      <c r="D129" s="5" t="s">
        <v>53</v>
      </c>
      <c r="E129" s="4" t="s">
        <v>25</v>
      </c>
      <c r="F129" s="4" t="s">
        <v>18</v>
      </c>
      <c r="G129" s="5" t="s">
        <v>54</v>
      </c>
      <c r="H129" s="4">
        <v>2</v>
      </c>
      <c r="I129" s="4">
        <v>89</v>
      </c>
      <c r="J129" s="4">
        <v>178</v>
      </c>
      <c r="K129" s="4" t="s">
        <v>36</v>
      </c>
    </row>
    <row r="130" spans="1:11" ht="15" customHeight="1" x14ac:dyDescent="0.2">
      <c r="A130" s="2" t="s">
        <v>283</v>
      </c>
      <c r="B130" s="2" t="s">
        <v>158</v>
      </c>
      <c r="C130" s="2" t="s">
        <v>15</v>
      </c>
      <c r="D130" s="3" t="s">
        <v>57</v>
      </c>
      <c r="E130" s="2" t="s">
        <v>33</v>
      </c>
      <c r="F130" s="2" t="s">
        <v>26</v>
      </c>
      <c r="G130" s="3" t="s">
        <v>58</v>
      </c>
      <c r="H130" s="2">
        <v>1</v>
      </c>
      <c r="I130" s="2">
        <v>399</v>
      </c>
      <c r="J130" s="2">
        <v>399</v>
      </c>
      <c r="K130" s="2" t="s">
        <v>20</v>
      </c>
    </row>
    <row r="131" spans="1:11" ht="15" customHeight="1" x14ac:dyDescent="0.2">
      <c r="A131" s="4" t="s">
        <v>284</v>
      </c>
      <c r="B131" s="4" t="s">
        <v>160</v>
      </c>
      <c r="C131" s="4" t="s">
        <v>23</v>
      </c>
      <c r="D131" s="5" t="s">
        <v>61</v>
      </c>
      <c r="E131" s="4" t="s">
        <v>41</v>
      </c>
      <c r="F131" s="4" t="s">
        <v>34</v>
      </c>
      <c r="G131" s="5" t="s">
        <v>62</v>
      </c>
      <c r="H131" s="4">
        <v>1</v>
      </c>
      <c r="I131" s="4">
        <v>24</v>
      </c>
      <c r="J131" s="4">
        <v>24</v>
      </c>
      <c r="K131" s="4" t="s">
        <v>28</v>
      </c>
    </row>
    <row r="132" spans="1:11" ht="15" customHeight="1" x14ac:dyDescent="0.2">
      <c r="A132" s="2" t="s">
        <v>285</v>
      </c>
      <c r="B132" s="2" t="s">
        <v>162</v>
      </c>
      <c r="C132" s="2" t="s">
        <v>31</v>
      </c>
      <c r="D132" s="3" t="s">
        <v>65</v>
      </c>
      <c r="E132" s="2" t="s">
        <v>17</v>
      </c>
      <c r="F132" s="2" t="s">
        <v>42</v>
      </c>
      <c r="G132" s="3" t="s">
        <v>66</v>
      </c>
      <c r="H132" s="2">
        <v>2</v>
      </c>
      <c r="I132" s="2">
        <v>249</v>
      </c>
      <c r="J132" s="2">
        <v>498</v>
      </c>
      <c r="K132" s="2" t="s">
        <v>36</v>
      </c>
    </row>
    <row r="133" spans="1:11" ht="15" customHeight="1" x14ac:dyDescent="0.2">
      <c r="A133" s="4" t="s">
        <v>286</v>
      </c>
      <c r="B133" s="4" t="s">
        <v>164</v>
      </c>
      <c r="C133" s="4" t="s">
        <v>39</v>
      </c>
      <c r="D133" s="5" t="s">
        <v>69</v>
      </c>
      <c r="E133" s="4" t="s">
        <v>25</v>
      </c>
      <c r="F133" s="4" t="s">
        <v>48</v>
      </c>
      <c r="G133" s="5" t="s">
        <v>70</v>
      </c>
      <c r="H133" s="4">
        <v>1</v>
      </c>
      <c r="I133" s="4">
        <v>1099</v>
      </c>
      <c r="J133" s="4">
        <v>1099</v>
      </c>
      <c r="K133" s="4" t="s">
        <v>20</v>
      </c>
    </row>
    <row r="134" spans="1:11" ht="15" customHeight="1" x14ac:dyDescent="0.2">
      <c r="A134" s="2" t="s">
        <v>287</v>
      </c>
      <c r="B134" s="2" t="s">
        <v>166</v>
      </c>
      <c r="C134" s="2" t="s">
        <v>46</v>
      </c>
      <c r="D134" s="3" t="s">
        <v>73</v>
      </c>
      <c r="E134" s="2" t="s">
        <v>33</v>
      </c>
      <c r="F134" s="2" t="s">
        <v>18</v>
      </c>
      <c r="G134" s="3" t="s">
        <v>74</v>
      </c>
      <c r="H134" s="2">
        <v>1</v>
      </c>
      <c r="I134" s="2">
        <v>95</v>
      </c>
      <c r="J134" s="2">
        <v>95</v>
      </c>
      <c r="K134" s="2" t="s">
        <v>28</v>
      </c>
    </row>
    <row r="135" spans="1:11" ht="15" customHeight="1" x14ac:dyDescent="0.2">
      <c r="A135" s="4" t="s">
        <v>288</v>
      </c>
      <c r="B135" s="4" t="s">
        <v>168</v>
      </c>
      <c r="C135" s="4" t="s">
        <v>52</v>
      </c>
      <c r="D135" s="5" t="s">
        <v>77</v>
      </c>
      <c r="E135" s="4" t="s">
        <v>41</v>
      </c>
      <c r="F135" s="4" t="s">
        <v>26</v>
      </c>
      <c r="G135" s="5" t="s">
        <v>78</v>
      </c>
      <c r="H135" s="4">
        <v>2</v>
      </c>
      <c r="I135" s="4">
        <v>549</v>
      </c>
      <c r="J135" s="4">
        <v>1098</v>
      </c>
      <c r="K135" s="4" t="s">
        <v>36</v>
      </c>
    </row>
    <row r="136" spans="1:11" ht="15" customHeight="1" x14ac:dyDescent="0.2">
      <c r="A136" s="2" t="s">
        <v>289</v>
      </c>
      <c r="B136" s="2" t="s">
        <v>170</v>
      </c>
      <c r="C136" s="2" t="s">
        <v>15</v>
      </c>
      <c r="D136" s="3" t="s">
        <v>16</v>
      </c>
      <c r="E136" s="2" t="s">
        <v>17</v>
      </c>
      <c r="F136" s="2" t="s">
        <v>34</v>
      </c>
      <c r="G136" s="3" t="s">
        <v>81</v>
      </c>
      <c r="H136" s="2">
        <v>1</v>
      </c>
      <c r="I136" s="2">
        <v>125</v>
      </c>
      <c r="J136" s="2">
        <v>125</v>
      </c>
      <c r="K136" s="2" t="s">
        <v>20</v>
      </c>
    </row>
    <row r="137" spans="1:11" ht="15" customHeight="1" x14ac:dyDescent="0.2">
      <c r="A137" s="4" t="s">
        <v>290</v>
      </c>
      <c r="B137" s="4" t="s">
        <v>172</v>
      </c>
      <c r="C137" s="4" t="s">
        <v>23</v>
      </c>
      <c r="D137" s="5" t="s">
        <v>24</v>
      </c>
      <c r="E137" s="4" t="s">
        <v>25</v>
      </c>
      <c r="F137" s="4" t="s">
        <v>42</v>
      </c>
      <c r="G137" s="5" t="s">
        <v>84</v>
      </c>
      <c r="H137" s="4">
        <v>3</v>
      </c>
      <c r="I137" s="4">
        <v>299</v>
      </c>
      <c r="J137" s="4">
        <v>897</v>
      </c>
      <c r="K137" s="4" t="s">
        <v>28</v>
      </c>
    </row>
    <row r="138" spans="1:11" ht="15" customHeight="1" x14ac:dyDescent="0.2">
      <c r="A138" s="2" t="s">
        <v>291</v>
      </c>
      <c r="B138" s="2" t="s">
        <v>174</v>
      </c>
      <c r="C138" s="2" t="s">
        <v>31</v>
      </c>
      <c r="D138" s="3" t="s">
        <v>32</v>
      </c>
      <c r="E138" s="2" t="s">
        <v>33</v>
      </c>
      <c r="F138" s="2" t="s">
        <v>48</v>
      </c>
      <c r="G138" s="3" t="s">
        <v>87</v>
      </c>
      <c r="H138" s="2">
        <v>1</v>
      </c>
      <c r="I138" s="2">
        <v>249</v>
      </c>
      <c r="J138" s="2">
        <v>249</v>
      </c>
      <c r="K138" s="2" t="s">
        <v>36</v>
      </c>
    </row>
    <row r="139" spans="1:11" ht="15" customHeight="1" x14ac:dyDescent="0.2">
      <c r="A139" s="4" t="s">
        <v>292</v>
      </c>
      <c r="B139" s="4" t="s">
        <v>176</v>
      </c>
      <c r="C139" s="4" t="s">
        <v>39</v>
      </c>
      <c r="D139" s="5" t="s">
        <v>40</v>
      </c>
      <c r="E139" s="4" t="s">
        <v>41</v>
      </c>
      <c r="F139" s="4" t="s">
        <v>18</v>
      </c>
      <c r="G139" s="5" t="s">
        <v>90</v>
      </c>
      <c r="H139" s="4">
        <v>2</v>
      </c>
      <c r="I139" s="4">
        <v>180</v>
      </c>
      <c r="J139" s="4">
        <v>360</v>
      </c>
      <c r="K139" s="4" t="s">
        <v>20</v>
      </c>
    </row>
    <row r="140" spans="1:11" ht="15" customHeight="1" x14ac:dyDescent="0.2">
      <c r="A140" s="2" t="s">
        <v>293</v>
      </c>
      <c r="B140" s="2" t="s">
        <v>178</v>
      </c>
      <c r="C140" s="2" t="s">
        <v>46</v>
      </c>
      <c r="D140" s="3" t="s">
        <v>47</v>
      </c>
      <c r="E140" s="2" t="s">
        <v>17</v>
      </c>
      <c r="F140" s="2" t="s">
        <v>26</v>
      </c>
      <c r="G140" s="3" t="s">
        <v>93</v>
      </c>
      <c r="H140" s="2">
        <v>1</v>
      </c>
      <c r="I140" s="2">
        <v>549</v>
      </c>
      <c r="J140" s="2">
        <v>549</v>
      </c>
      <c r="K140" s="2" t="s">
        <v>28</v>
      </c>
    </row>
    <row r="141" spans="1:11" ht="15" customHeight="1" x14ac:dyDescent="0.2">
      <c r="A141" s="4" t="s">
        <v>294</v>
      </c>
      <c r="B141" s="4" t="s">
        <v>180</v>
      </c>
      <c r="C141" s="4" t="s">
        <v>52</v>
      </c>
      <c r="D141" s="5" t="s">
        <v>53</v>
      </c>
      <c r="E141" s="4" t="s">
        <v>25</v>
      </c>
      <c r="F141" s="4" t="s">
        <v>34</v>
      </c>
      <c r="G141" s="5" t="s">
        <v>96</v>
      </c>
      <c r="H141" s="4">
        <v>1</v>
      </c>
      <c r="I141" s="4">
        <v>42</v>
      </c>
      <c r="J141" s="4">
        <v>42</v>
      </c>
      <c r="K141" s="4" t="s">
        <v>36</v>
      </c>
    </row>
    <row r="142" spans="1:11" ht="15" customHeight="1" x14ac:dyDescent="0.2">
      <c r="A142" s="2" t="s">
        <v>295</v>
      </c>
      <c r="B142" s="2" t="s">
        <v>182</v>
      </c>
      <c r="C142" s="2" t="s">
        <v>15</v>
      </c>
      <c r="D142" s="3" t="s">
        <v>57</v>
      </c>
      <c r="E142" s="2" t="s">
        <v>33</v>
      </c>
      <c r="F142" s="2" t="s">
        <v>42</v>
      </c>
      <c r="G142" s="3" t="s">
        <v>99</v>
      </c>
      <c r="H142" s="2">
        <v>2</v>
      </c>
      <c r="I142" s="2">
        <v>349</v>
      </c>
      <c r="J142" s="2">
        <v>698</v>
      </c>
      <c r="K142" s="2" t="s">
        <v>20</v>
      </c>
    </row>
    <row r="143" spans="1:11" ht="15" customHeight="1" x14ac:dyDescent="0.2">
      <c r="A143" s="4" t="s">
        <v>296</v>
      </c>
      <c r="B143" s="4" t="s">
        <v>184</v>
      </c>
      <c r="C143" s="4" t="s">
        <v>23</v>
      </c>
      <c r="D143" s="5" t="s">
        <v>61</v>
      </c>
      <c r="E143" s="4" t="s">
        <v>41</v>
      </c>
      <c r="F143" s="4" t="s">
        <v>48</v>
      </c>
      <c r="G143" s="5" t="s">
        <v>102</v>
      </c>
      <c r="H143" s="4">
        <v>1</v>
      </c>
      <c r="I143" s="4">
        <v>1299</v>
      </c>
      <c r="J143" s="4">
        <v>1299</v>
      </c>
      <c r="K143" s="4" t="s">
        <v>28</v>
      </c>
    </row>
    <row r="144" spans="1:11" ht="15" customHeight="1" x14ac:dyDescent="0.2">
      <c r="A144" s="2" t="s">
        <v>297</v>
      </c>
      <c r="B144" s="2" t="s">
        <v>186</v>
      </c>
      <c r="C144" s="2" t="s">
        <v>31</v>
      </c>
      <c r="D144" s="3" t="s">
        <v>65</v>
      </c>
      <c r="E144" s="2" t="s">
        <v>17</v>
      </c>
      <c r="F144" s="2" t="s">
        <v>18</v>
      </c>
      <c r="G144" s="3" t="s">
        <v>105</v>
      </c>
      <c r="H144" s="2">
        <v>1</v>
      </c>
      <c r="I144" s="2">
        <v>65</v>
      </c>
      <c r="J144" s="2">
        <v>65</v>
      </c>
      <c r="K144" s="2" t="s">
        <v>36</v>
      </c>
    </row>
    <row r="145" spans="1:11" ht="15" customHeight="1" x14ac:dyDescent="0.2">
      <c r="A145" s="4" t="s">
        <v>298</v>
      </c>
      <c r="B145" s="4" t="s">
        <v>188</v>
      </c>
      <c r="C145" s="4" t="s">
        <v>39</v>
      </c>
      <c r="D145" s="5" t="s">
        <v>69</v>
      </c>
      <c r="E145" s="4" t="s">
        <v>25</v>
      </c>
      <c r="F145" s="4" t="s">
        <v>26</v>
      </c>
      <c r="G145" s="5" t="s">
        <v>108</v>
      </c>
      <c r="H145" s="4">
        <v>2</v>
      </c>
      <c r="I145" s="4">
        <v>179</v>
      </c>
      <c r="J145" s="4">
        <v>358</v>
      </c>
      <c r="K145" s="4" t="s">
        <v>20</v>
      </c>
    </row>
    <row r="146" spans="1:11" ht="15" customHeight="1" x14ac:dyDescent="0.2">
      <c r="A146" s="2" t="s">
        <v>299</v>
      </c>
      <c r="B146" s="2" t="s">
        <v>190</v>
      </c>
      <c r="C146" s="2" t="s">
        <v>46</v>
      </c>
      <c r="D146" s="3" t="s">
        <v>73</v>
      </c>
      <c r="E146" s="2" t="s">
        <v>33</v>
      </c>
      <c r="F146" s="2" t="s">
        <v>34</v>
      </c>
      <c r="G146" s="3" t="s">
        <v>111</v>
      </c>
      <c r="H146" s="2">
        <v>1</v>
      </c>
      <c r="I146" s="2">
        <v>38</v>
      </c>
      <c r="J146" s="2">
        <v>38</v>
      </c>
      <c r="K146" s="2" t="s">
        <v>28</v>
      </c>
    </row>
    <row r="147" spans="1:11" ht="15" customHeight="1" x14ac:dyDescent="0.2">
      <c r="A147" s="4" t="s">
        <v>300</v>
      </c>
      <c r="B147" s="4" t="s">
        <v>192</v>
      </c>
      <c r="C147" s="4" t="s">
        <v>52</v>
      </c>
      <c r="D147" s="5" t="s">
        <v>77</v>
      </c>
      <c r="E147" s="4" t="s">
        <v>41</v>
      </c>
      <c r="F147" s="4" t="s">
        <v>42</v>
      </c>
      <c r="G147" s="5" t="s">
        <v>114</v>
      </c>
      <c r="H147" s="4">
        <v>3</v>
      </c>
      <c r="I147" s="4">
        <v>1495</v>
      </c>
      <c r="J147" s="4">
        <v>4485</v>
      </c>
      <c r="K147" s="4" t="s">
        <v>36</v>
      </c>
    </row>
    <row r="148" spans="1:11" ht="15" customHeight="1" x14ac:dyDescent="0.2">
      <c r="A148" s="2" t="s">
        <v>301</v>
      </c>
      <c r="B148" s="2" t="s">
        <v>194</v>
      </c>
      <c r="C148" s="2" t="s">
        <v>15</v>
      </c>
      <c r="D148" s="3" t="s">
        <v>16</v>
      </c>
      <c r="E148" s="2" t="s">
        <v>17</v>
      </c>
      <c r="F148" s="2" t="s">
        <v>48</v>
      </c>
      <c r="G148" s="3" t="s">
        <v>117</v>
      </c>
      <c r="H148" s="2">
        <v>1</v>
      </c>
      <c r="I148" s="2">
        <v>1999</v>
      </c>
      <c r="J148" s="2">
        <v>1999</v>
      </c>
      <c r="K148" s="2" t="s">
        <v>20</v>
      </c>
    </row>
    <row r="149" spans="1:11" ht="15" customHeight="1" x14ac:dyDescent="0.2">
      <c r="A149" s="4" t="s">
        <v>302</v>
      </c>
      <c r="B149" s="4" t="s">
        <v>196</v>
      </c>
      <c r="C149" s="4" t="s">
        <v>23</v>
      </c>
      <c r="D149" s="5" t="s">
        <v>24</v>
      </c>
      <c r="E149" s="4" t="s">
        <v>25</v>
      </c>
      <c r="F149" s="4" t="s">
        <v>18</v>
      </c>
      <c r="G149" s="5" t="s">
        <v>120</v>
      </c>
      <c r="H149" s="4">
        <v>2</v>
      </c>
      <c r="I149" s="4">
        <v>110</v>
      </c>
      <c r="J149" s="4">
        <v>220</v>
      </c>
      <c r="K149" s="4" t="s">
        <v>28</v>
      </c>
    </row>
    <row r="150" spans="1:11" ht="15" customHeight="1" x14ac:dyDescent="0.2">
      <c r="A150" s="2" t="s">
        <v>303</v>
      </c>
      <c r="B150" s="2" t="s">
        <v>198</v>
      </c>
      <c r="C150" s="2" t="s">
        <v>31</v>
      </c>
      <c r="D150" s="3" t="s">
        <v>32</v>
      </c>
      <c r="E150" s="2" t="s">
        <v>33</v>
      </c>
      <c r="F150" s="2" t="s">
        <v>26</v>
      </c>
      <c r="G150" s="3" t="s">
        <v>123</v>
      </c>
      <c r="H150" s="2">
        <v>1</v>
      </c>
      <c r="I150" s="2">
        <v>149</v>
      </c>
      <c r="J150" s="2">
        <v>149</v>
      </c>
      <c r="K150" s="2" t="s">
        <v>36</v>
      </c>
    </row>
    <row r="151" spans="1:11" ht="15" customHeight="1" x14ac:dyDescent="0.2">
      <c r="A151" s="4" t="s">
        <v>304</v>
      </c>
      <c r="B151" s="4" t="s">
        <v>200</v>
      </c>
      <c r="C151" s="4" t="s">
        <v>39</v>
      </c>
      <c r="D151" s="5" t="s">
        <v>40</v>
      </c>
      <c r="E151" s="4" t="s">
        <v>41</v>
      </c>
      <c r="F151" s="4" t="s">
        <v>34</v>
      </c>
      <c r="G151" s="5" t="s">
        <v>126</v>
      </c>
      <c r="H151" s="4">
        <v>1</v>
      </c>
      <c r="I151" s="4">
        <v>185</v>
      </c>
      <c r="J151" s="4">
        <v>185</v>
      </c>
      <c r="K151" s="4" t="s">
        <v>20</v>
      </c>
    </row>
    <row r="152" spans="1:11" ht="15" customHeight="1" x14ac:dyDescent="0.2">
      <c r="A152" s="2" t="s">
        <v>305</v>
      </c>
      <c r="B152" s="2" t="s">
        <v>202</v>
      </c>
      <c r="C152" s="2" t="s">
        <v>46</v>
      </c>
      <c r="D152" s="3" t="s">
        <v>47</v>
      </c>
      <c r="E152" s="2" t="s">
        <v>17</v>
      </c>
      <c r="F152" s="2" t="s">
        <v>42</v>
      </c>
      <c r="G152" s="3" t="s">
        <v>129</v>
      </c>
      <c r="H152" s="2">
        <v>2</v>
      </c>
      <c r="I152" s="2">
        <v>149</v>
      </c>
      <c r="J152" s="2">
        <v>298</v>
      </c>
      <c r="K152" s="2" t="s">
        <v>28</v>
      </c>
    </row>
    <row r="153" spans="1:11" ht="15" customHeight="1" x14ac:dyDescent="0.2">
      <c r="A153" s="4" t="s">
        <v>306</v>
      </c>
      <c r="B153" s="4" t="s">
        <v>204</v>
      </c>
      <c r="C153" s="4" t="s">
        <v>52</v>
      </c>
      <c r="D153" s="5" t="s">
        <v>53</v>
      </c>
      <c r="E153" s="4" t="s">
        <v>25</v>
      </c>
      <c r="F153" s="4" t="s">
        <v>48</v>
      </c>
      <c r="G153" s="5" t="s">
        <v>132</v>
      </c>
      <c r="H153" s="4">
        <v>1</v>
      </c>
      <c r="I153" s="4">
        <v>999</v>
      </c>
      <c r="J153" s="4">
        <v>999</v>
      </c>
      <c r="K153" s="4" t="s">
        <v>36</v>
      </c>
    </row>
    <row r="154" spans="1:11" ht="15" customHeight="1" x14ac:dyDescent="0.2">
      <c r="A154" s="2" t="s">
        <v>307</v>
      </c>
      <c r="B154" s="2" t="s">
        <v>206</v>
      </c>
      <c r="C154" s="2" t="s">
        <v>15</v>
      </c>
      <c r="D154" s="3" t="s">
        <v>57</v>
      </c>
      <c r="E154" s="2" t="s">
        <v>33</v>
      </c>
      <c r="F154" s="2" t="s">
        <v>18</v>
      </c>
      <c r="G154" s="3" t="s">
        <v>19</v>
      </c>
      <c r="H154" s="2">
        <v>1</v>
      </c>
      <c r="I154" s="2">
        <v>79</v>
      </c>
      <c r="J154" s="2">
        <v>79</v>
      </c>
      <c r="K154" s="2" t="s">
        <v>20</v>
      </c>
    </row>
    <row r="155" spans="1:11" ht="15" customHeight="1" x14ac:dyDescent="0.2">
      <c r="A155" s="4" t="s">
        <v>308</v>
      </c>
      <c r="B155" s="4" t="s">
        <v>208</v>
      </c>
      <c r="C155" s="4" t="s">
        <v>23</v>
      </c>
      <c r="D155" s="5" t="s">
        <v>61</v>
      </c>
      <c r="E155" s="4" t="s">
        <v>41</v>
      </c>
      <c r="F155" s="4" t="s">
        <v>26</v>
      </c>
      <c r="G155" s="5" t="s">
        <v>27</v>
      </c>
      <c r="H155" s="4">
        <v>2</v>
      </c>
      <c r="I155" s="4">
        <v>129</v>
      </c>
      <c r="J155" s="4">
        <v>258</v>
      </c>
      <c r="K155" s="4" t="s">
        <v>28</v>
      </c>
    </row>
    <row r="156" spans="1:11" ht="15" customHeight="1" x14ac:dyDescent="0.2">
      <c r="A156" s="2" t="s">
        <v>309</v>
      </c>
      <c r="B156" s="2" t="s">
        <v>210</v>
      </c>
      <c r="C156" s="2" t="s">
        <v>31</v>
      </c>
      <c r="D156" s="3" t="s">
        <v>65</v>
      </c>
      <c r="E156" s="2" t="s">
        <v>17</v>
      </c>
      <c r="F156" s="2" t="s">
        <v>34</v>
      </c>
      <c r="G156" s="3" t="s">
        <v>35</v>
      </c>
      <c r="H156" s="2">
        <v>1</v>
      </c>
      <c r="I156" s="2">
        <v>88</v>
      </c>
      <c r="J156" s="2">
        <v>88</v>
      </c>
      <c r="K156" s="2" t="s">
        <v>36</v>
      </c>
    </row>
    <row r="157" spans="1:11" ht="15" customHeight="1" x14ac:dyDescent="0.2">
      <c r="A157" s="4" t="s">
        <v>310</v>
      </c>
      <c r="B157" s="4" t="s">
        <v>212</v>
      </c>
      <c r="C157" s="4" t="s">
        <v>39</v>
      </c>
      <c r="D157" s="5" t="s">
        <v>69</v>
      </c>
      <c r="E157" s="4" t="s">
        <v>25</v>
      </c>
      <c r="F157" s="4" t="s">
        <v>42</v>
      </c>
      <c r="G157" s="5" t="s">
        <v>43</v>
      </c>
      <c r="H157" s="4">
        <v>3</v>
      </c>
      <c r="I157" s="4">
        <v>179</v>
      </c>
      <c r="J157" s="4">
        <v>537</v>
      </c>
      <c r="K157" s="4" t="s">
        <v>20</v>
      </c>
    </row>
    <row r="158" spans="1:11" ht="15" customHeight="1" x14ac:dyDescent="0.2">
      <c r="A158" s="2" t="s">
        <v>311</v>
      </c>
      <c r="B158" s="2" t="s">
        <v>214</v>
      </c>
      <c r="C158" s="2" t="s">
        <v>46</v>
      </c>
      <c r="D158" s="3" t="s">
        <v>73</v>
      </c>
      <c r="E158" s="2" t="s">
        <v>33</v>
      </c>
      <c r="F158" s="2" t="s">
        <v>48</v>
      </c>
      <c r="G158" s="3" t="s">
        <v>49</v>
      </c>
      <c r="H158" s="2">
        <v>1</v>
      </c>
      <c r="I158" s="2">
        <v>349</v>
      </c>
      <c r="J158" s="2">
        <v>349</v>
      </c>
      <c r="K158" s="2" t="s">
        <v>28</v>
      </c>
    </row>
    <row r="159" spans="1:11" ht="15" customHeight="1" x14ac:dyDescent="0.2">
      <c r="A159" s="4" t="s">
        <v>312</v>
      </c>
      <c r="B159" s="4" t="s">
        <v>216</v>
      </c>
      <c r="C159" s="4" t="s">
        <v>52</v>
      </c>
      <c r="D159" s="5" t="s">
        <v>77</v>
      </c>
      <c r="E159" s="4" t="s">
        <v>41</v>
      </c>
      <c r="F159" s="4" t="s">
        <v>18</v>
      </c>
      <c r="G159" s="5" t="s">
        <v>54</v>
      </c>
      <c r="H159" s="4">
        <v>2</v>
      </c>
      <c r="I159" s="4">
        <v>89</v>
      </c>
      <c r="J159" s="4">
        <v>178</v>
      </c>
      <c r="K159" s="4" t="s">
        <v>36</v>
      </c>
    </row>
    <row r="160" spans="1:11" ht="15" customHeight="1" x14ac:dyDescent="0.2">
      <c r="A160" s="2" t="s">
        <v>313</v>
      </c>
      <c r="B160" s="2" t="s">
        <v>218</v>
      </c>
      <c r="C160" s="2" t="s">
        <v>15</v>
      </c>
      <c r="D160" s="3" t="s">
        <v>16</v>
      </c>
      <c r="E160" s="2" t="s">
        <v>17</v>
      </c>
      <c r="F160" s="2" t="s">
        <v>26</v>
      </c>
      <c r="G160" s="3" t="s">
        <v>58</v>
      </c>
      <c r="H160" s="2">
        <v>1</v>
      </c>
      <c r="I160" s="2">
        <v>399</v>
      </c>
      <c r="J160" s="2">
        <v>399</v>
      </c>
      <c r="K160" s="2" t="s">
        <v>20</v>
      </c>
    </row>
    <row r="161" spans="1:11" ht="15" customHeight="1" x14ac:dyDescent="0.2">
      <c r="A161" s="4" t="s">
        <v>314</v>
      </c>
      <c r="B161" s="4" t="s">
        <v>220</v>
      </c>
      <c r="C161" s="4" t="s">
        <v>23</v>
      </c>
      <c r="D161" s="5" t="s">
        <v>24</v>
      </c>
      <c r="E161" s="4" t="s">
        <v>25</v>
      </c>
      <c r="F161" s="4" t="s">
        <v>34</v>
      </c>
      <c r="G161" s="5" t="s">
        <v>62</v>
      </c>
      <c r="H161" s="4">
        <v>1</v>
      </c>
      <c r="I161" s="4">
        <v>24</v>
      </c>
      <c r="J161" s="4">
        <v>24</v>
      </c>
      <c r="K161" s="4" t="s">
        <v>28</v>
      </c>
    </row>
    <row r="162" spans="1:11" ht="15" customHeight="1" x14ac:dyDescent="0.2">
      <c r="A162" s="2" t="s">
        <v>315</v>
      </c>
      <c r="B162" s="2" t="s">
        <v>222</v>
      </c>
      <c r="C162" s="2" t="s">
        <v>31</v>
      </c>
      <c r="D162" s="3" t="s">
        <v>32</v>
      </c>
      <c r="E162" s="2" t="s">
        <v>33</v>
      </c>
      <c r="F162" s="2" t="s">
        <v>42</v>
      </c>
      <c r="G162" s="3" t="s">
        <v>66</v>
      </c>
      <c r="H162" s="2">
        <v>2</v>
      </c>
      <c r="I162" s="2">
        <v>249</v>
      </c>
      <c r="J162" s="2">
        <v>498</v>
      </c>
      <c r="K162" s="2" t="s">
        <v>36</v>
      </c>
    </row>
    <row r="163" spans="1:11" ht="15" customHeight="1" x14ac:dyDescent="0.2">
      <c r="A163" s="4" t="s">
        <v>316</v>
      </c>
      <c r="B163" s="4" t="s">
        <v>224</v>
      </c>
      <c r="C163" s="4" t="s">
        <v>39</v>
      </c>
      <c r="D163" s="5" t="s">
        <v>40</v>
      </c>
      <c r="E163" s="4" t="s">
        <v>41</v>
      </c>
      <c r="F163" s="4" t="s">
        <v>48</v>
      </c>
      <c r="G163" s="5" t="s">
        <v>70</v>
      </c>
      <c r="H163" s="4">
        <v>1</v>
      </c>
      <c r="I163" s="4">
        <v>1099</v>
      </c>
      <c r="J163" s="4">
        <v>1099</v>
      </c>
      <c r="K163" s="4" t="s">
        <v>20</v>
      </c>
    </row>
    <row r="164" spans="1:11" ht="15" customHeight="1" x14ac:dyDescent="0.2">
      <c r="A164" s="2" t="s">
        <v>317</v>
      </c>
      <c r="B164" s="2" t="s">
        <v>226</v>
      </c>
      <c r="C164" s="2" t="s">
        <v>46</v>
      </c>
      <c r="D164" s="3" t="s">
        <v>47</v>
      </c>
      <c r="E164" s="2" t="s">
        <v>17</v>
      </c>
      <c r="F164" s="2" t="s">
        <v>18</v>
      </c>
      <c r="G164" s="3" t="s">
        <v>74</v>
      </c>
      <c r="H164" s="2">
        <v>1</v>
      </c>
      <c r="I164" s="2">
        <v>95</v>
      </c>
      <c r="J164" s="2">
        <v>95</v>
      </c>
      <c r="K164" s="2" t="s">
        <v>28</v>
      </c>
    </row>
    <row r="165" spans="1:11" ht="15" customHeight="1" x14ac:dyDescent="0.2">
      <c r="A165" s="4" t="s">
        <v>318</v>
      </c>
      <c r="B165" s="4" t="s">
        <v>228</v>
      </c>
      <c r="C165" s="4" t="s">
        <v>52</v>
      </c>
      <c r="D165" s="5" t="s">
        <v>53</v>
      </c>
      <c r="E165" s="4" t="s">
        <v>25</v>
      </c>
      <c r="F165" s="4" t="s">
        <v>26</v>
      </c>
      <c r="G165" s="5" t="s">
        <v>78</v>
      </c>
      <c r="H165" s="4">
        <v>2</v>
      </c>
      <c r="I165" s="4">
        <v>549</v>
      </c>
      <c r="J165" s="4">
        <v>1098</v>
      </c>
      <c r="K165" s="4" t="s">
        <v>36</v>
      </c>
    </row>
    <row r="166" spans="1:11" ht="15" customHeight="1" x14ac:dyDescent="0.2">
      <c r="A166" s="2" t="s">
        <v>319</v>
      </c>
      <c r="B166" s="2" t="s">
        <v>230</v>
      </c>
      <c r="C166" s="2" t="s">
        <v>15</v>
      </c>
      <c r="D166" s="3" t="s">
        <v>57</v>
      </c>
      <c r="E166" s="2" t="s">
        <v>33</v>
      </c>
      <c r="F166" s="2" t="s">
        <v>34</v>
      </c>
      <c r="G166" s="3" t="s">
        <v>81</v>
      </c>
      <c r="H166" s="2">
        <v>1</v>
      </c>
      <c r="I166" s="2">
        <v>125</v>
      </c>
      <c r="J166" s="2">
        <v>125</v>
      </c>
      <c r="K166" s="2" t="s">
        <v>20</v>
      </c>
    </row>
    <row r="167" spans="1:11" ht="15" customHeight="1" x14ac:dyDescent="0.2">
      <c r="A167" s="4" t="s">
        <v>320</v>
      </c>
      <c r="B167" s="4" t="s">
        <v>232</v>
      </c>
      <c r="C167" s="4" t="s">
        <v>23</v>
      </c>
      <c r="D167" s="5" t="s">
        <v>61</v>
      </c>
      <c r="E167" s="4" t="s">
        <v>41</v>
      </c>
      <c r="F167" s="4" t="s">
        <v>42</v>
      </c>
      <c r="G167" s="5" t="s">
        <v>84</v>
      </c>
      <c r="H167" s="4">
        <v>3</v>
      </c>
      <c r="I167" s="4">
        <v>299</v>
      </c>
      <c r="J167" s="4">
        <v>897</v>
      </c>
      <c r="K167" s="4" t="s">
        <v>28</v>
      </c>
    </row>
    <row r="168" spans="1:11" ht="15" customHeight="1" x14ac:dyDescent="0.2">
      <c r="A168" s="2" t="s">
        <v>321</v>
      </c>
      <c r="B168" s="2" t="s">
        <v>234</v>
      </c>
      <c r="C168" s="2" t="s">
        <v>31</v>
      </c>
      <c r="D168" s="3" t="s">
        <v>65</v>
      </c>
      <c r="E168" s="2" t="s">
        <v>17</v>
      </c>
      <c r="F168" s="2" t="s">
        <v>48</v>
      </c>
      <c r="G168" s="3" t="s">
        <v>87</v>
      </c>
      <c r="H168" s="2">
        <v>1</v>
      </c>
      <c r="I168" s="2">
        <v>249</v>
      </c>
      <c r="J168" s="2">
        <v>249</v>
      </c>
      <c r="K168" s="2" t="s">
        <v>36</v>
      </c>
    </row>
    <row r="169" spans="1:11" ht="15" customHeight="1" x14ac:dyDescent="0.2">
      <c r="A169" s="4" t="s">
        <v>322</v>
      </c>
      <c r="B169" s="4" t="s">
        <v>236</v>
      </c>
      <c r="C169" s="4" t="s">
        <v>39</v>
      </c>
      <c r="D169" s="5" t="s">
        <v>69</v>
      </c>
      <c r="E169" s="4" t="s">
        <v>25</v>
      </c>
      <c r="F169" s="4" t="s">
        <v>18</v>
      </c>
      <c r="G169" s="5" t="s">
        <v>90</v>
      </c>
      <c r="H169" s="4">
        <v>2</v>
      </c>
      <c r="I169" s="4">
        <v>180</v>
      </c>
      <c r="J169" s="4">
        <v>360</v>
      </c>
      <c r="K169" s="4" t="s">
        <v>20</v>
      </c>
    </row>
    <row r="170" spans="1:11" ht="15" customHeight="1" x14ac:dyDescent="0.2">
      <c r="A170" s="2" t="s">
        <v>323</v>
      </c>
      <c r="B170" s="2" t="s">
        <v>238</v>
      </c>
      <c r="C170" s="2" t="s">
        <v>46</v>
      </c>
      <c r="D170" s="3" t="s">
        <v>73</v>
      </c>
      <c r="E170" s="2" t="s">
        <v>33</v>
      </c>
      <c r="F170" s="2" t="s">
        <v>26</v>
      </c>
      <c r="G170" s="3" t="s">
        <v>93</v>
      </c>
      <c r="H170" s="2">
        <v>1</v>
      </c>
      <c r="I170" s="2">
        <v>549</v>
      </c>
      <c r="J170" s="2">
        <v>549</v>
      </c>
      <c r="K170" s="2" t="s">
        <v>28</v>
      </c>
    </row>
    <row r="171" spans="1:11" ht="15" customHeight="1" x14ac:dyDescent="0.2">
      <c r="A171" s="4" t="s">
        <v>324</v>
      </c>
      <c r="B171" s="4" t="s">
        <v>240</v>
      </c>
      <c r="C171" s="4" t="s">
        <v>52</v>
      </c>
      <c r="D171" s="5" t="s">
        <v>77</v>
      </c>
      <c r="E171" s="4" t="s">
        <v>41</v>
      </c>
      <c r="F171" s="4" t="s">
        <v>34</v>
      </c>
      <c r="G171" s="5" t="s">
        <v>96</v>
      </c>
      <c r="H171" s="4">
        <v>1</v>
      </c>
      <c r="I171" s="4">
        <v>42</v>
      </c>
      <c r="J171" s="4">
        <v>42</v>
      </c>
      <c r="K171" s="4" t="s">
        <v>36</v>
      </c>
    </row>
    <row r="172" spans="1:11" ht="15" customHeight="1" x14ac:dyDescent="0.2">
      <c r="A172" s="2" t="s">
        <v>325</v>
      </c>
      <c r="B172" s="2" t="s">
        <v>14</v>
      </c>
      <c r="C172" s="2" t="s">
        <v>15</v>
      </c>
      <c r="D172" s="3" t="s">
        <v>16</v>
      </c>
      <c r="E172" s="2" t="s">
        <v>17</v>
      </c>
      <c r="F172" s="2" t="s">
        <v>42</v>
      </c>
      <c r="G172" s="3" t="s">
        <v>99</v>
      </c>
      <c r="H172" s="2">
        <v>2</v>
      </c>
      <c r="I172" s="2">
        <v>349</v>
      </c>
      <c r="J172" s="16">
        <v>698</v>
      </c>
      <c r="K172" s="2" t="s">
        <v>20</v>
      </c>
    </row>
    <row r="173" spans="1:11" ht="15" customHeight="1" x14ac:dyDescent="0.2">
      <c r="A173" s="4" t="s">
        <v>326</v>
      </c>
      <c r="B173" s="4" t="s">
        <v>22</v>
      </c>
      <c r="C173" s="4" t="s">
        <v>23</v>
      </c>
      <c r="D173" s="5" t="s">
        <v>24</v>
      </c>
      <c r="E173" s="4" t="s">
        <v>25</v>
      </c>
      <c r="F173" s="4" t="s">
        <v>48</v>
      </c>
      <c r="G173" s="5" t="s">
        <v>102</v>
      </c>
      <c r="H173" s="4">
        <v>1</v>
      </c>
      <c r="I173" s="4">
        <v>1299</v>
      </c>
      <c r="J173" s="4">
        <v>1299</v>
      </c>
      <c r="K173" s="4" t="s">
        <v>28</v>
      </c>
    </row>
    <row r="174" spans="1:11" ht="15" customHeight="1" x14ac:dyDescent="0.2">
      <c r="A174" s="2" t="s">
        <v>327</v>
      </c>
      <c r="B174" s="2" t="s">
        <v>30</v>
      </c>
      <c r="C174" s="2" t="s">
        <v>31</v>
      </c>
      <c r="D174" s="3" t="s">
        <v>32</v>
      </c>
      <c r="E174" s="2" t="s">
        <v>33</v>
      </c>
      <c r="F174" s="2" t="s">
        <v>18</v>
      </c>
      <c r="G174" s="3" t="s">
        <v>105</v>
      </c>
      <c r="H174" s="2">
        <v>1</v>
      </c>
      <c r="I174" s="2">
        <v>65</v>
      </c>
      <c r="J174" s="2">
        <v>65</v>
      </c>
      <c r="K174" s="2" t="s">
        <v>36</v>
      </c>
    </row>
    <row r="175" spans="1:11" ht="15" customHeight="1" x14ac:dyDescent="0.2">
      <c r="A175" s="4" t="s">
        <v>328</v>
      </c>
      <c r="B175" s="4" t="s">
        <v>38</v>
      </c>
      <c r="C175" s="4" t="s">
        <v>39</v>
      </c>
      <c r="D175" s="5" t="s">
        <v>40</v>
      </c>
      <c r="E175" s="4" t="s">
        <v>41</v>
      </c>
      <c r="F175" s="4" t="s">
        <v>26</v>
      </c>
      <c r="G175" s="5" t="s">
        <v>108</v>
      </c>
      <c r="H175" s="4">
        <v>2</v>
      </c>
      <c r="I175" s="4">
        <v>179</v>
      </c>
      <c r="J175" s="4">
        <v>358</v>
      </c>
      <c r="K175" s="4" t="s">
        <v>20</v>
      </c>
    </row>
    <row r="176" spans="1:11" ht="15" customHeight="1" x14ac:dyDescent="0.2">
      <c r="A176" s="2" t="s">
        <v>329</v>
      </c>
      <c r="B176" s="2" t="s">
        <v>45</v>
      </c>
      <c r="C176" s="2" t="s">
        <v>46</v>
      </c>
      <c r="D176" s="3" t="s">
        <v>47</v>
      </c>
      <c r="E176" s="2" t="s">
        <v>17</v>
      </c>
      <c r="F176" s="2" t="s">
        <v>34</v>
      </c>
      <c r="G176" s="3" t="s">
        <v>111</v>
      </c>
      <c r="H176" s="2">
        <v>1</v>
      </c>
      <c r="I176" s="2">
        <v>38</v>
      </c>
      <c r="J176" s="2">
        <v>38</v>
      </c>
      <c r="K176" s="2" t="s">
        <v>28</v>
      </c>
    </row>
    <row r="177" spans="1:11" ht="15" customHeight="1" x14ac:dyDescent="0.2">
      <c r="A177" s="4" t="s">
        <v>330</v>
      </c>
      <c r="B177" s="4" t="s">
        <v>51</v>
      </c>
      <c r="C177" s="4" t="s">
        <v>52</v>
      </c>
      <c r="D177" s="5" t="s">
        <v>53</v>
      </c>
      <c r="E177" s="4" t="s">
        <v>25</v>
      </c>
      <c r="F177" s="4" t="s">
        <v>42</v>
      </c>
      <c r="G177" s="5" t="s">
        <v>114</v>
      </c>
      <c r="H177" s="4">
        <v>3</v>
      </c>
      <c r="I177" s="4">
        <v>1495</v>
      </c>
      <c r="J177" s="4">
        <v>4485</v>
      </c>
      <c r="K177" s="4" t="s">
        <v>36</v>
      </c>
    </row>
    <row r="178" spans="1:11" ht="15" customHeight="1" x14ac:dyDescent="0.2">
      <c r="A178" s="2" t="s">
        <v>331</v>
      </c>
      <c r="B178" s="2" t="s">
        <v>56</v>
      </c>
      <c r="C178" s="2" t="s">
        <v>15</v>
      </c>
      <c r="D178" s="3" t="s">
        <v>57</v>
      </c>
      <c r="E178" s="2" t="s">
        <v>33</v>
      </c>
      <c r="F178" s="2" t="s">
        <v>48</v>
      </c>
      <c r="G178" s="3" t="s">
        <v>117</v>
      </c>
      <c r="H178" s="2">
        <v>1</v>
      </c>
      <c r="I178" s="2">
        <v>1999</v>
      </c>
      <c r="J178" s="2">
        <v>1999</v>
      </c>
      <c r="K178" s="2" t="s">
        <v>20</v>
      </c>
    </row>
    <row r="179" spans="1:11" ht="15" customHeight="1" x14ac:dyDescent="0.2">
      <c r="A179" s="4" t="s">
        <v>332</v>
      </c>
      <c r="B179" s="4" t="s">
        <v>60</v>
      </c>
      <c r="C179" s="4" t="s">
        <v>23</v>
      </c>
      <c r="D179" s="5" t="s">
        <v>61</v>
      </c>
      <c r="E179" s="4" t="s">
        <v>41</v>
      </c>
      <c r="F179" s="4" t="s">
        <v>18</v>
      </c>
      <c r="G179" s="5" t="s">
        <v>120</v>
      </c>
      <c r="H179" s="4">
        <v>2</v>
      </c>
      <c r="I179" s="4">
        <v>110</v>
      </c>
      <c r="J179" s="4">
        <v>220</v>
      </c>
      <c r="K179" s="4" t="s">
        <v>28</v>
      </c>
    </row>
    <row r="180" spans="1:11" ht="15" customHeight="1" x14ac:dyDescent="0.2">
      <c r="A180" s="2" t="s">
        <v>333</v>
      </c>
      <c r="B180" s="2" t="s">
        <v>64</v>
      </c>
      <c r="C180" s="2" t="s">
        <v>31</v>
      </c>
      <c r="D180" s="3" t="s">
        <v>65</v>
      </c>
      <c r="E180" s="2" t="s">
        <v>17</v>
      </c>
      <c r="F180" s="2" t="s">
        <v>26</v>
      </c>
      <c r="G180" s="3" t="s">
        <v>123</v>
      </c>
      <c r="H180" s="2">
        <v>1</v>
      </c>
      <c r="I180" s="2">
        <v>149</v>
      </c>
      <c r="J180" s="2">
        <v>149</v>
      </c>
      <c r="K180" s="2" t="s">
        <v>36</v>
      </c>
    </row>
    <row r="181" spans="1:11" ht="15" customHeight="1" x14ac:dyDescent="0.2">
      <c r="A181" s="4" t="s">
        <v>334</v>
      </c>
      <c r="B181" s="4" t="s">
        <v>68</v>
      </c>
      <c r="C181" s="4" t="s">
        <v>39</v>
      </c>
      <c r="D181" s="5" t="s">
        <v>69</v>
      </c>
      <c r="E181" s="4" t="s">
        <v>25</v>
      </c>
      <c r="F181" s="4" t="s">
        <v>34</v>
      </c>
      <c r="G181" s="5" t="s">
        <v>126</v>
      </c>
      <c r="H181" s="4">
        <v>1</v>
      </c>
      <c r="I181" s="4">
        <v>185</v>
      </c>
      <c r="J181" s="4">
        <v>185</v>
      </c>
      <c r="K181" s="4" t="s">
        <v>20</v>
      </c>
    </row>
    <row r="182" spans="1:11" ht="15" customHeight="1" x14ac:dyDescent="0.2">
      <c r="A182" s="2" t="s">
        <v>335</v>
      </c>
      <c r="B182" s="2" t="s">
        <v>72</v>
      </c>
      <c r="C182" s="2" t="s">
        <v>46</v>
      </c>
      <c r="D182" s="3" t="s">
        <v>73</v>
      </c>
      <c r="E182" s="2" t="s">
        <v>33</v>
      </c>
      <c r="F182" s="2" t="s">
        <v>42</v>
      </c>
      <c r="G182" s="3" t="s">
        <v>129</v>
      </c>
      <c r="H182" s="2">
        <v>2</v>
      </c>
      <c r="I182" s="2">
        <v>149</v>
      </c>
      <c r="J182" s="2">
        <v>298</v>
      </c>
      <c r="K182" s="2" t="s">
        <v>28</v>
      </c>
    </row>
    <row r="183" spans="1:11" ht="15" customHeight="1" x14ac:dyDescent="0.2">
      <c r="A183" s="4" t="s">
        <v>336</v>
      </c>
      <c r="B183" s="4" t="s">
        <v>76</v>
      </c>
      <c r="C183" s="4" t="s">
        <v>52</v>
      </c>
      <c r="D183" s="5" t="s">
        <v>77</v>
      </c>
      <c r="E183" s="4" t="s">
        <v>41</v>
      </c>
      <c r="F183" s="4" t="s">
        <v>48</v>
      </c>
      <c r="G183" s="5" t="s">
        <v>132</v>
      </c>
      <c r="H183" s="4">
        <v>1</v>
      </c>
      <c r="I183" s="4">
        <v>999</v>
      </c>
      <c r="J183" s="4">
        <v>999</v>
      </c>
      <c r="K183" s="4" t="s">
        <v>36</v>
      </c>
    </row>
    <row r="184" spans="1:11" ht="15" customHeight="1" x14ac:dyDescent="0.2">
      <c r="A184" s="2" t="s">
        <v>337</v>
      </c>
      <c r="B184" s="2" t="s">
        <v>80</v>
      </c>
      <c r="C184" s="2" t="s">
        <v>15</v>
      </c>
      <c r="D184" s="3" t="s">
        <v>16</v>
      </c>
      <c r="E184" s="2" t="s">
        <v>17</v>
      </c>
      <c r="F184" s="2" t="s">
        <v>18</v>
      </c>
      <c r="G184" s="3" t="s">
        <v>19</v>
      </c>
      <c r="H184" s="2">
        <v>1</v>
      </c>
      <c r="I184" s="2">
        <v>79</v>
      </c>
      <c r="J184" s="2">
        <v>79</v>
      </c>
      <c r="K184" s="2" t="s">
        <v>20</v>
      </c>
    </row>
    <row r="185" spans="1:11" ht="15" customHeight="1" x14ac:dyDescent="0.2">
      <c r="A185" s="4" t="s">
        <v>338</v>
      </c>
      <c r="B185" s="4" t="s">
        <v>83</v>
      </c>
      <c r="C185" s="4" t="s">
        <v>23</v>
      </c>
      <c r="D185" s="5" t="s">
        <v>24</v>
      </c>
      <c r="E185" s="4" t="s">
        <v>25</v>
      </c>
      <c r="F185" s="4" t="s">
        <v>26</v>
      </c>
      <c r="G185" s="5" t="s">
        <v>27</v>
      </c>
      <c r="H185" s="4">
        <v>2</v>
      </c>
      <c r="I185" s="4">
        <v>129</v>
      </c>
      <c r="J185" s="4">
        <v>258</v>
      </c>
      <c r="K185" s="4" t="s">
        <v>28</v>
      </c>
    </row>
    <row r="186" spans="1:11" ht="15" customHeight="1" x14ac:dyDescent="0.2">
      <c r="A186" s="2" t="s">
        <v>339</v>
      </c>
      <c r="B186" s="2" t="s">
        <v>86</v>
      </c>
      <c r="C186" s="2" t="s">
        <v>31</v>
      </c>
      <c r="D186" s="3" t="s">
        <v>32</v>
      </c>
      <c r="E186" s="2" t="s">
        <v>33</v>
      </c>
      <c r="F186" s="2" t="s">
        <v>34</v>
      </c>
      <c r="G186" s="3" t="s">
        <v>35</v>
      </c>
      <c r="H186" s="2">
        <v>1</v>
      </c>
      <c r="I186" s="2">
        <v>88</v>
      </c>
      <c r="J186" s="2">
        <v>88</v>
      </c>
      <c r="K186" s="2" t="s">
        <v>36</v>
      </c>
    </row>
    <row r="187" spans="1:11" ht="15" customHeight="1" x14ac:dyDescent="0.2">
      <c r="A187" s="4" t="s">
        <v>340</v>
      </c>
      <c r="B187" s="4" t="s">
        <v>89</v>
      </c>
      <c r="C187" s="4" t="s">
        <v>39</v>
      </c>
      <c r="D187" s="5" t="s">
        <v>40</v>
      </c>
      <c r="E187" s="4" t="s">
        <v>41</v>
      </c>
      <c r="F187" s="4" t="s">
        <v>42</v>
      </c>
      <c r="G187" s="5" t="s">
        <v>43</v>
      </c>
      <c r="H187" s="4">
        <v>3</v>
      </c>
      <c r="I187" s="4">
        <v>179</v>
      </c>
      <c r="J187" s="4">
        <v>537</v>
      </c>
      <c r="K187" s="4" t="s">
        <v>20</v>
      </c>
    </row>
    <row r="188" spans="1:11" ht="15" customHeight="1" x14ac:dyDescent="0.2">
      <c r="A188" s="2" t="s">
        <v>341</v>
      </c>
      <c r="B188" s="2" t="s">
        <v>92</v>
      </c>
      <c r="C188" s="2" t="s">
        <v>46</v>
      </c>
      <c r="D188" s="3" t="s">
        <v>47</v>
      </c>
      <c r="E188" s="2" t="s">
        <v>17</v>
      </c>
      <c r="F188" s="2" t="s">
        <v>48</v>
      </c>
      <c r="G188" s="3" t="s">
        <v>49</v>
      </c>
      <c r="H188" s="2">
        <v>1</v>
      </c>
      <c r="I188" s="2">
        <v>349</v>
      </c>
      <c r="J188" s="2">
        <v>349</v>
      </c>
      <c r="K188" s="2" t="s">
        <v>28</v>
      </c>
    </row>
    <row r="189" spans="1:11" ht="15" customHeight="1" x14ac:dyDescent="0.2">
      <c r="A189" s="4" t="s">
        <v>342</v>
      </c>
      <c r="B189" s="4" t="s">
        <v>95</v>
      </c>
      <c r="C189" s="4" t="s">
        <v>52</v>
      </c>
      <c r="D189" s="5" t="s">
        <v>53</v>
      </c>
      <c r="E189" s="4" t="s">
        <v>25</v>
      </c>
      <c r="F189" s="4" t="s">
        <v>18</v>
      </c>
      <c r="G189" s="5" t="s">
        <v>54</v>
      </c>
      <c r="H189" s="4">
        <v>2</v>
      </c>
      <c r="I189" s="4">
        <v>89</v>
      </c>
      <c r="J189" s="4">
        <v>178</v>
      </c>
      <c r="K189" s="4" t="s">
        <v>36</v>
      </c>
    </row>
    <row r="190" spans="1:11" ht="15" customHeight="1" x14ac:dyDescent="0.2">
      <c r="A190" s="2" t="s">
        <v>343</v>
      </c>
      <c r="B190" s="2" t="s">
        <v>98</v>
      </c>
      <c r="C190" s="2" t="s">
        <v>15</v>
      </c>
      <c r="D190" s="3" t="s">
        <v>57</v>
      </c>
      <c r="E190" s="2" t="s">
        <v>33</v>
      </c>
      <c r="F190" s="2" t="s">
        <v>26</v>
      </c>
      <c r="G190" s="3" t="s">
        <v>58</v>
      </c>
      <c r="H190" s="2">
        <v>1</v>
      </c>
      <c r="I190" s="2">
        <v>399</v>
      </c>
      <c r="J190" s="2">
        <v>399</v>
      </c>
      <c r="K190" s="2" t="s">
        <v>20</v>
      </c>
    </row>
    <row r="191" spans="1:11" ht="15" customHeight="1" x14ac:dyDescent="0.2">
      <c r="A191" s="4" t="s">
        <v>344</v>
      </c>
      <c r="B191" s="4" t="s">
        <v>101</v>
      </c>
      <c r="C191" s="4" t="s">
        <v>23</v>
      </c>
      <c r="D191" s="5" t="s">
        <v>61</v>
      </c>
      <c r="E191" s="4" t="s">
        <v>41</v>
      </c>
      <c r="F191" s="4" t="s">
        <v>34</v>
      </c>
      <c r="G191" s="5" t="s">
        <v>62</v>
      </c>
      <c r="H191" s="4">
        <v>1</v>
      </c>
      <c r="I191" s="4">
        <v>24</v>
      </c>
      <c r="J191" s="4">
        <v>24</v>
      </c>
      <c r="K191" s="4" t="s">
        <v>28</v>
      </c>
    </row>
    <row r="192" spans="1:11" ht="15" customHeight="1" x14ac:dyDescent="0.2">
      <c r="A192" s="2" t="s">
        <v>345</v>
      </c>
      <c r="B192" s="2" t="s">
        <v>104</v>
      </c>
      <c r="C192" s="2" t="s">
        <v>31</v>
      </c>
      <c r="D192" s="3" t="s">
        <v>65</v>
      </c>
      <c r="E192" s="2" t="s">
        <v>17</v>
      </c>
      <c r="F192" s="2" t="s">
        <v>42</v>
      </c>
      <c r="G192" s="3" t="s">
        <v>66</v>
      </c>
      <c r="H192" s="2">
        <v>2</v>
      </c>
      <c r="I192" s="2">
        <v>249</v>
      </c>
      <c r="J192" s="2">
        <v>498</v>
      </c>
      <c r="K192" s="2" t="s">
        <v>36</v>
      </c>
    </row>
    <row r="193" spans="1:15" ht="15" customHeight="1" x14ac:dyDescent="0.2">
      <c r="A193" s="4" t="s">
        <v>346</v>
      </c>
      <c r="B193" s="4" t="s">
        <v>107</v>
      </c>
      <c r="C193" s="4" t="s">
        <v>39</v>
      </c>
      <c r="D193" s="5" t="s">
        <v>69</v>
      </c>
      <c r="E193" s="4" t="s">
        <v>25</v>
      </c>
      <c r="F193" s="4" t="s">
        <v>48</v>
      </c>
      <c r="G193" s="5" t="s">
        <v>70</v>
      </c>
      <c r="H193" s="4">
        <v>1</v>
      </c>
      <c r="I193" s="4">
        <v>1099</v>
      </c>
      <c r="J193" s="4">
        <v>1099</v>
      </c>
      <c r="K193" s="4" t="s">
        <v>20</v>
      </c>
    </row>
    <row r="194" spans="1:15" ht="15" customHeight="1" x14ac:dyDescent="0.2">
      <c r="A194" s="2" t="s">
        <v>347</v>
      </c>
      <c r="B194" s="2" t="s">
        <v>110</v>
      </c>
      <c r="C194" s="2" t="s">
        <v>46</v>
      </c>
      <c r="D194" s="3" t="s">
        <v>73</v>
      </c>
      <c r="E194" s="2" t="s">
        <v>33</v>
      </c>
      <c r="F194" s="2" t="s">
        <v>18</v>
      </c>
      <c r="G194" s="3" t="s">
        <v>74</v>
      </c>
      <c r="H194" s="2">
        <v>1</v>
      </c>
      <c r="I194" s="2">
        <v>95</v>
      </c>
      <c r="J194" s="2">
        <v>95</v>
      </c>
      <c r="K194" s="2" t="s">
        <v>28</v>
      </c>
    </row>
    <row r="195" spans="1:15" ht="15" customHeight="1" x14ac:dyDescent="0.2">
      <c r="A195" s="4" t="s">
        <v>348</v>
      </c>
      <c r="B195" s="4" t="s">
        <v>113</v>
      </c>
      <c r="C195" s="4" t="s">
        <v>52</v>
      </c>
      <c r="D195" s="5" t="s">
        <v>77</v>
      </c>
      <c r="E195" s="4" t="s">
        <v>41</v>
      </c>
      <c r="F195" s="4" t="s">
        <v>26</v>
      </c>
      <c r="G195" s="5" t="s">
        <v>78</v>
      </c>
      <c r="H195" s="4">
        <v>2</v>
      </c>
      <c r="I195" s="4">
        <v>549</v>
      </c>
      <c r="J195" s="4">
        <v>1098</v>
      </c>
      <c r="K195" s="4" t="s">
        <v>36</v>
      </c>
    </row>
    <row r="196" spans="1:15" ht="15" customHeight="1" x14ac:dyDescent="0.2">
      <c r="A196" s="2" t="s">
        <v>349</v>
      </c>
      <c r="B196" s="2" t="s">
        <v>116</v>
      </c>
      <c r="C196" s="2" t="s">
        <v>15</v>
      </c>
      <c r="D196" s="3" t="s">
        <v>16</v>
      </c>
      <c r="E196" s="2" t="s">
        <v>17</v>
      </c>
      <c r="F196" s="2" t="s">
        <v>34</v>
      </c>
      <c r="G196" s="3" t="s">
        <v>81</v>
      </c>
      <c r="H196" s="2">
        <v>1</v>
      </c>
      <c r="I196" s="2">
        <v>125</v>
      </c>
      <c r="J196" s="2">
        <v>125</v>
      </c>
      <c r="K196" s="2" t="s">
        <v>20</v>
      </c>
    </row>
    <row r="197" spans="1:15" ht="15" customHeight="1" x14ac:dyDescent="0.2">
      <c r="A197" s="4" t="s">
        <v>350</v>
      </c>
      <c r="B197" s="4" t="s">
        <v>119</v>
      </c>
      <c r="C197" s="4" t="s">
        <v>23</v>
      </c>
      <c r="D197" s="5" t="s">
        <v>24</v>
      </c>
      <c r="E197" s="4" t="s">
        <v>25</v>
      </c>
      <c r="F197" s="4" t="s">
        <v>42</v>
      </c>
      <c r="G197" s="5" t="s">
        <v>84</v>
      </c>
      <c r="H197" s="4">
        <v>3</v>
      </c>
      <c r="I197" s="4">
        <v>299</v>
      </c>
      <c r="J197" s="4">
        <v>897</v>
      </c>
      <c r="K197" s="4" t="s">
        <v>28</v>
      </c>
    </row>
    <row r="198" spans="1:15" ht="15" customHeight="1" x14ac:dyDescent="0.2">
      <c r="A198" s="2" t="s">
        <v>351</v>
      </c>
      <c r="B198" s="2" t="s">
        <v>122</v>
      </c>
      <c r="C198" s="2" t="s">
        <v>31</v>
      </c>
      <c r="D198" s="3" t="s">
        <v>32</v>
      </c>
      <c r="E198" s="2" t="s">
        <v>33</v>
      </c>
      <c r="F198" s="2" t="s">
        <v>48</v>
      </c>
      <c r="G198" s="3" t="s">
        <v>87</v>
      </c>
      <c r="H198" s="2">
        <v>1</v>
      </c>
      <c r="I198" s="2">
        <v>249</v>
      </c>
      <c r="J198" s="2">
        <v>249</v>
      </c>
      <c r="K198" s="2" t="s">
        <v>36</v>
      </c>
    </row>
    <row r="199" spans="1:15" ht="15" customHeight="1" x14ac:dyDescent="0.2">
      <c r="A199" s="4" t="s">
        <v>352</v>
      </c>
      <c r="B199" s="4" t="s">
        <v>125</v>
      </c>
      <c r="C199" s="4" t="s">
        <v>39</v>
      </c>
      <c r="D199" s="5" t="s">
        <v>40</v>
      </c>
      <c r="E199" s="4" t="s">
        <v>41</v>
      </c>
      <c r="F199" s="4" t="s">
        <v>18</v>
      </c>
      <c r="G199" s="5" t="s">
        <v>90</v>
      </c>
      <c r="H199" s="4">
        <v>2</v>
      </c>
      <c r="I199" s="4">
        <v>180</v>
      </c>
      <c r="J199" s="4">
        <v>360</v>
      </c>
      <c r="K199" s="4" t="s">
        <v>20</v>
      </c>
    </row>
    <row r="200" spans="1:15" ht="15" customHeight="1" x14ac:dyDescent="0.2">
      <c r="A200" s="2" t="s">
        <v>353</v>
      </c>
      <c r="B200" s="2" t="s">
        <v>128</v>
      </c>
      <c r="C200" s="2" t="s">
        <v>46</v>
      </c>
      <c r="D200" s="3" t="s">
        <v>47</v>
      </c>
      <c r="E200" s="2" t="s">
        <v>17</v>
      </c>
      <c r="F200" s="2" t="s">
        <v>26</v>
      </c>
      <c r="G200" s="3" t="s">
        <v>93</v>
      </c>
      <c r="H200" s="2">
        <v>1</v>
      </c>
      <c r="I200" s="2">
        <v>549</v>
      </c>
      <c r="J200" s="2">
        <v>549</v>
      </c>
      <c r="K200" s="2" t="s">
        <v>28</v>
      </c>
    </row>
    <row r="201" spans="1:15" ht="15" customHeight="1" x14ac:dyDescent="0.2">
      <c r="A201" s="4" t="s">
        <v>354</v>
      </c>
      <c r="B201" s="4" t="s">
        <v>131</v>
      </c>
      <c r="C201" s="4" t="s">
        <v>52</v>
      </c>
      <c r="D201" s="5" t="s">
        <v>53</v>
      </c>
      <c r="E201" s="4" t="s">
        <v>25</v>
      </c>
      <c r="F201" s="4" t="s">
        <v>34</v>
      </c>
      <c r="G201" s="5" t="s">
        <v>96</v>
      </c>
      <c r="H201" s="4">
        <v>1</v>
      </c>
      <c r="I201" s="4">
        <v>42</v>
      </c>
      <c r="J201" s="4">
        <v>42</v>
      </c>
      <c r="K201" s="4" t="s">
        <v>36</v>
      </c>
    </row>
    <row r="202" spans="1:15" ht="15" customHeight="1" x14ac:dyDescent="0.2">
      <c r="A202" s="2" t="s">
        <v>355</v>
      </c>
      <c r="B202" s="2" t="s">
        <v>134</v>
      </c>
      <c r="C202" s="2" t="s">
        <v>15</v>
      </c>
      <c r="D202" s="3" t="s">
        <v>57</v>
      </c>
      <c r="E202" s="2" t="s">
        <v>33</v>
      </c>
      <c r="F202" s="2" t="s">
        <v>42</v>
      </c>
      <c r="G202" s="3" t="s">
        <v>99</v>
      </c>
      <c r="H202" s="2">
        <v>2</v>
      </c>
      <c r="I202" s="2">
        <v>349</v>
      </c>
      <c r="J202" s="2">
        <v>698</v>
      </c>
      <c r="K202" s="2" t="s">
        <v>20</v>
      </c>
    </row>
    <row r="203" spans="1:15" ht="15" customHeight="1" x14ac:dyDescent="0.2">
      <c r="A203" s="4" t="s">
        <v>356</v>
      </c>
      <c r="B203" s="4" t="s">
        <v>136</v>
      </c>
      <c r="C203" s="4" t="s">
        <v>23</v>
      </c>
      <c r="D203" s="5" t="s">
        <v>61</v>
      </c>
      <c r="E203" s="4" t="s">
        <v>41</v>
      </c>
      <c r="F203" s="4" t="s">
        <v>48</v>
      </c>
      <c r="G203" s="5" t="s">
        <v>102</v>
      </c>
      <c r="H203" s="4">
        <v>1</v>
      </c>
      <c r="I203" s="4">
        <v>1299</v>
      </c>
      <c r="J203" s="4">
        <v>1299</v>
      </c>
      <c r="K203" s="4" t="s">
        <v>28</v>
      </c>
    </row>
    <row r="205" spans="1:15" x14ac:dyDescent="0.2">
      <c r="O205" s="2"/>
    </row>
    <row r="206" spans="1:15" x14ac:dyDescent="0.2">
      <c r="O206" s="2"/>
    </row>
    <row r="207" spans="1:15" x14ac:dyDescent="0.2">
      <c r="O207" s="2"/>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opLeftCell="C1" zoomScaleNormal="100" workbookViewId="0">
      <selection activeCell="B14" sqref="B14"/>
    </sheetView>
  </sheetViews>
  <sheetFormatPr defaultColWidth="8.7421875" defaultRowHeight="15" x14ac:dyDescent="0.2"/>
  <cols>
    <col min="1" max="1" width="6.05078125" customWidth="1"/>
    <col min="2" max="2" width="39.953125" customWidth="1"/>
    <col min="3" max="3" width="41.96875" customWidth="1"/>
    <col min="4" max="4" width="11.97265625" customWidth="1"/>
    <col min="5" max="5" width="46.00390625" customWidth="1"/>
  </cols>
  <sheetData>
    <row r="1" spans="1:5" ht="25.5" customHeight="1" x14ac:dyDescent="0.2">
      <c r="A1" s="19" t="s">
        <v>357</v>
      </c>
      <c r="B1" s="19"/>
      <c r="C1" s="19"/>
      <c r="D1" s="19"/>
      <c r="E1" s="19"/>
    </row>
    <row r="2" spans="1:5" ht="25.5" customHeight="1" x14ac:dyDescent="0.2">
      <c r="A2" s="20" t="s">
        <v>358</v>
      </c>
      <c r="B2" s="20"/>
      <c r="C2" s="20"/>
      <c r="D2" s="20"/>
      <c r="E2" s="20"/>
    </row>
    <row r="4" spans="1:5" ht="19.5" customHeight="1" x14ac:dyDescent="0.2">
      <c r="A4" s="21" t="s">
        <v>359</v>
      </c>
      <c r="B4" s="21"/>
      <c r="C4" s="21"/>
      <c r="D4" s="21"/>
      <c r="E4" s="21"/>
    </row>
    <row r="5" spans="1:5" ht="18" customHeight="1" x14ac:dyDescent="0.2">
      <c r="A5" s="6" t="s">
        <v>360</v>
      </c>
      <c r="B5" s="6" t="s">
        <v>361</v>
      </c>
      <c r="C5" s="6" t="s">
        <v>362</v>
      </c>
      <c r="D5" s="6" t="s">
        <v>363</v>
      </c>
      <c r="E5" s="6" t="s">
        <v>364</v>
      </c>
    </row>
    <row r="6" spans="1:5" ht="30" customHeight="1" x14ac:dyDescent="0.2">
      <c r="A6" s="7" t="s">
        <v>365</v>
      </c>
      <c r="B6" s="5"/>
      <c r="C6" s="8" t="s">
        <v>460</v>
      </c>
      <c r="D6" s="9">
        <f>SUMIFS('Sales Data'!J4:J203,'Sales Data'!E4:E203,"North",'Sales Data'!C4:C203,"January")</f>
        <v>21504</v>
      </c>
      <c r="E6" s="10">
        <f>SUMIFS('Sales Data'!J4:J203,'Sales Data'!E4:E203,"North",'Sales Data'!C4:C203,"January")</f>
        <v>21504</v>
      </c>
    </row>
    <row r="7" spans="1:5" ht="34.5" customHeight="1" x14ac:dyDescent="0.2">
      <c r="A7" s="7" t="s">
        <v>366</v>
      </c>
      <c r="B7" s="5" t="s">
        <v>367</v>
      </c>
      <c r="C7" s="8" t="s">
        <v>461</v>
      </c>
      <c r="D7" s="9">
        <f>SUMIFS('Sales Data'!J4:J203,'Sales Data'!F4:F203,"Electronics",'Sales Data'!D4:D203,"James Wilson")</f>
        <v>2997</v>
      </c>
      <c r="E7" s="10">
        <f>SUMIFS('Sales Data'!J4:J203,'Sales Data'!F4:F203,"Electronics",'Sales Data'!D4:D203,"James Wilson")</f>
        <v>2997</v>
      </c>
    </row>
    <row r="8" spans="1:5" ht="30" customHeight="1" x14ac:dyDescent="0.2">
      <c r="A8" s="7" t="s">
        <v>368</v>
      </c>
      <c r="B8" s="5" t="s">
        <v>369</v>
      </c>
      <c r="C8" s="8" t="s">
        <v>462</v>
      </c>
      <c r="D8" s="9">
        <f>SUMIFS('Sales Data'!H4:H203,'Sales Data'!E4:E203,"South",'Sales Data'!K4:K203,"Premium")</f>
        <v>20</v>
      </c>
      <c r="E8" s="10">
        <f>SUMIFS('Sales Data'!H4:H203,'Sales Data'!E4:E203,"South",'Sales Data'!K4:K203,"Premium")</f>
        <v>20</v>
      </c>
    </row>
    <row r="9" spans="1:5" ht="30" customHeight="1" x14ac:dyDescent="0.2">
      <c r="A9" s="7" t="s">
        <v>370</v>
      </c>
      <c r="B9" s="5" t="s">
        <v>371</v>
      </c>
      <c r="C9" s="8" t="s">
        <v>463</v>
      </c>
      <c r="D9" s="9">
        <f>SUMIFS('Sales Data'!J4:J203,'Sales Data'!F4:F203,"Clothing",'Sales Data'!E4:E203,"East")</f>
        <v>2452</v>
      </c>
      <c r="E9" s="10">
        <f>SUMIFS('Sales Data'!J4:J203,'Sales Data'!F4:F203,"Clothing",'Sales Data'!E4:E203,"East")</f>
        <v>2452</v>
      </c>
    </row>
    <row r="10" spans="1:5" ht="36" customHeight="1" x14ac:dyDescent="0.2">
      <c r="A10" s="7" t="s">
        <v>372</v>
      </c>
      <c r="B10" s="5" t="s">
        <v>373</v>
      </c>
      <c r="C10" s="8" t="s">
        <v>464</v>
      </c>
      <c r="D10" s="9">
        <f>SUMIFS('Sales Data'!J4:J203,'Sales Data'!H4:H203,"&gt;"&amp;'Sales Data'!H4,'Sales Data'!F4:F203,"Sports")</f>
        <v>47108</v>
      </c>
      <c r="E10" s="10">
        <f>SUMIFS('Sales Data'!J4:J203,'Sales Data'!H4:H203,"&gt;1",'Sales Data'!F4:F203,"Sports")</f>
        <v>47108</v>
      </c>
    </row>
    <row r="12" spans="1:5" ht="19.5" customHeight="1" x14ac:dyDescent="0.2">
      <c r="A12" s="21" t="s">
        <v>374</v>
      </c>
      <c r="B12" s="21"/>
      <c r="C12" s="21"/>
      <c r="D12" s="21"/>
      <c r="E12" s="21"/>
    </row>
    <row r="13" spans="1:5" ht="18" customHeight="1" x14ac:dyDescent="0.2">
      <c r="A13" s="6" t="s">
        <v>360</v>
      </c>
      <c r="B13" s="6" t="s">
        <v>361</v>
      </c>
      <c r="C13" s="6" t="s">
        <v>362</v>
      </c>
      <c r="D13" s="6" t="s">
        <v>363</v>
      </c>
      <c r="E13" s="6" t="s">
        <v>364</v>
      </c>
    </row>
    <row r="14" spans="1:5" ht="33.75" customHeight="1" x14ac:dyDescent="0.2">
      <c r="A14" s="7" t="s">
        <v>375</v>
      </c>
      <c r="B14" s="18" t="s">
        <v>376</v>
      </c>
      <c r="C14" s="17" t="s">
        <v>465</v>
      </c>
      <c r="D14" s="9">
        <f>SUMIFS('Sales Data'!J4:J203,'Sales Data'!E4:E203,"North",'Sales Data'!F4:F203,"Electronics",'Sales Data'!K4:K203,"Premium")</f>
        <v>2997</v>
      </c>
      <c r="E14" s="10">
        <f>SUMIFS('Sales Data'!J4:J203,'Sales Data'!E4:E203,"North",'Sales Data'!F4:F203,"Electronics",'Sales Data'!K4:K203,"Premium")</f>
        <v>2997</v>
      </c>
    </row>
    <row r="15" spans="1:5" ht="33.75" customHeight="1" x14ac:dyDescent="0.2">
      <c r="A15" s="7" t="s">
        <v>377</v>
      </c>
      <c r="B15" s="5" t="s">
        <v>378</v>
      </c>
      <c r="C15" s="17" t="s">
        <v>466</v>
      </c>
      <c r="D15" s="9">
        <f>SUMIFS('Sales Data'!J4:J203,'Sales Data'!F4:F203,"Sports",'Sales Data'!E4:E203,"East",'Sales Data'!C4:C203,"February") + SUMIFS('Sales Data'!J4:J203,'Sales Data'!F4:F203,"Sports",'Sales Data'!E4:E203,"South",'Sales Data'!C4:C203,"February")</f>
        <v>2094</v>
      </c>
      <c r="E15" s="10" t="s">
        <v>379</v>
      </c>
    </row>
    <row r="16" spans="1:5" ht="33.75" customHeight="1" x14ac:dyDescent="0.2">
      <c r="A16" s="7" t="s">
        <v>380</v>
      </c>
      <c r="B16" s="5" t="s">
        <v>381</v>
      </c>
      <c r="C16" s="17" t="s">
        <v>467</v>
      </c>
      <c r="D16" s="9">
        <f>SUMIFS('Sales Data'!J4:J203,'Sales Data'!I4:I203,"&gt;100",'Sales Data'!I4:I203,"&lt;500")</f>
        <v>37850</v>
      </c>
      <c r="E16" s="10">
        <f>SUMIFS('Sales Data'!J4:J203,'Sales Data'!I4:I203,"&gt;=100",'Sales Data'!I4:I203,"&lt;=500")</f>
        <v>37850</v>
      </c>
    </row>
  </sheetData>
  <mergeCells count="4">
    <mergeCell ref="A1:E1"/>
    <mergeCell ref="A2:E2"/>
    <mergeCell ref="A4:E4"/>
    <mergeCell ref="A12:E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opLeftCell="A5" zoomScaleNormal="100" workbookViewId="0">
      <selection activeCell="E18" sqref="E18"/>
    </sheetView>
  </sheetViews>
  <sheetFormatPr defaultColWidth="8.7421875" defaultRowHeight="15" x14ac:dyDescent="0.2"/>
  <cols>
    <col min="1" max="1" width="6.05078125" customWidth="1"/>
    <col min="2" max="2" width="43.98828125" customWidth="1"/>
    <col min="3" max="3" width="39.953125" customWidth="1"/>
    <col min="4" max="4" width="11.97265625" customWidth="1"/>
    <col min="5" max="5" width="39.953125" customWidth="1"/>
  </cols>
  <sheetData>
    <row r="1" spans="1:5" ht="25.5" customHeight="1" x14ac:dyDescent="0.2">
      <c r="A1" s="19" t="s">
        <v>382</v>
      </c>
      <c r="B1" s="19"/>
      <c r="C1" s="19"/>
      <c r="D1" s="19"/>
      <c r="E1" s="19"/>
    </row>
    <row r="2" spans="1:5" ht="25.5" customHeight="1" x14ac:dyDescent="0.2">
      <c r="A2" s="20" t="s">
        <v>383</v>
      </c>
      <c r="B2" s="20"/>
      <c r="C2" s="20"/>
      <c r="D2" s="20"/>
      <c r="E2" s="20"/>
    </row>
    <row r="4" spans="1:5" ht="19.5" customHeight="1" x14ac:dyDescent="0.2">
      <c r="A4" s="21" t="s">
        <v>384</v>
      </c>
      <c r="B4" s="21"/>
      <c r="C4" s="21"/>
      <c r="D4" s="21"/>
      <c r="E4" s="21"/>
    </row>
    <row r="5" spans="1:5" ht="18" customHeight="1" x14ac:dyDescent="0.2">
      <c r="A5" s="6" t="s">
        <v>360</v>
      </c>
      <c r="B5" s="6" t="s">
        <v>361</v>
      </c>
      <c r="C5" s="6" t="s">
        <v>362</v>
      </c>
      <c r="D5" s="6" t="s">
        <v>363</v>
      </c>
      <c r="E5" s="6" t="s">
        <v>364</v>
      </c>
    </row>
    <row r="6" spans="1:5" ht="30" customHeight="1" x14ac:dyDescent="0.2">
      <c r="A6" s="7" t="s">
        <v>365</v>
      </c>
      <c r="B6" s="5" t="s">
        <v>385</v>
      </c>
      <c r="C6" s="17" t="s">
        <v>468</v>
      </c>
      <c r="D6" s="9">
        <f>COUNTIFS('Sales Data'!E4:E203,"North",'Sales Data'!F4:F203,"Electronics")</f>
        <v>10</v>
      </c>
      <c r="E6" s="10">
        <f>COUNTIFS('Sales Data'!E4:E203,"North",'Sales Data'!F4:F203,"Electronics")</f>
        <v>10</v>
      </c>
    </row>
    <row r="7" spans="1:5" ht="30" customHeight="1" x14ac:dyDescent="0.2">
      <c r="A7" s="7" t="s">
        <v>366</v>
      </c>
      <c r="B7" s="5" t="s">
        <v>386</v>
      </c>
      <c r="C7" s="17" t="s">
        <v>469</v>
      </c>
      <c r="D7" s="9">
        <f>COUNTIFS('Sales Data'!K4:K203,"Premium",'Sales Data'!C4:C203,"January")</f>
        <v>33</v>
      </c>
      <c r="E7" s="10">
        <f>COUNTIFS('Sales Data'!K4:K203,"Premium",'Sales Data'!C4:C203,"January")</f>
        <v>33</v>
      </c>
    </row>
    <row r="8" spans="1:5" ht="30" customHeight="1" x14ac:dyDescent="0.2">
      <c r="A8" s="7" t="s">
        <v>368</v>
      </c>
      <c r="B8" s="5" t="s">
        <v>387</v>
      </c>
      <c r="C8" s="17" t="s">
        <v>470</v>
      </c>
      <c r="D8" s="9">
        <f>COUNTIFS('Sales Data'!D4:D203,"James Wilson",'Sales Data'!H4:H203,"&gt;"&amp;'Sales Data'!H4)</f>
        <v>10</v>
      </c>
      <c r="E8" s="10">
        <f>COUNTIFS('Sales Data'!D4:D203,"James Wilson",'Sales Data'!H4:H203,"&gt;1")</f>
        <v>10</v>
      </c>
    </row>
    <row r="9" spans="1:5" ht="30" customHeight="1" x14ac:dyDescent="0.2">
      <c r="A9" s="7" t="s">
        <v>370</v>
      </c>
      <c r="B9" s="5" t="s">
        <v>388</v>
      </c>
      <c r="C9" s="17" t="s">
        <v>471</v>
      </c>
      <c r="D9" s="9">
        <f>COUNTIFS('Sales Data'!F4:F203,"Beauty",'Sales Data'!J4:J203,"&lt;"&amp;50)</f>
        <v>20</v>
      </c>
      <c r="E9" s="10">
        <f>COUNTIFS('Sales Data'!F4:F203,"Beauty",'Sales Data'!J4:J203,"&lt;50")</f>
        <v>20</v>
      </c>
    </row>
    <row r="10" spans="1:5" ht="30" customHeight="1" x14ac:dyDescent="0.2">
      <c r="A10" s="7" t="s">
        <v>372</v>
      </c>
      <c r="B10" s="5" t="s">
        <v>389</v>
      </c>
      <c r="C10" s="17" t="s">
        <v>472</v>
      </c>
      <c r="D10" s="9">
        <f>COUNTIFS('Sales Data'!E4:E203,"South",'Sales Data'!K4:K203,"Standard")</f>
        <v>17</v>
      </c>
      <c r="E10" s="10">
        <f>COUNTIFS('Sales Data'!E4:E203,"South",'Sales Data'!K4:K203,"Standard")</f>
        <v>17</v>
      </c>
    </row>
    <row r="12" spans="1:5" ht="19.5" customHeight="1" x14ac:dyDescent="0.2">
      <c r="A12" s="21" t="s">
        <v>390</v>
      </c>
      <c r="B12" s="21"/>
      <c r="C12" s="21"/>
      <c r="D12" s="21"/>
      <c r="E12" s="21"/>
    </row>
    <row r="13" spans="1:5" ht="18" customHeight="1" x14ac:dyDescent="0.2">
      <c r="A13" s="6" t="s">
        <v>360</v>
      </c>
      <c r="B13" s="6" t="s">
        <v>361</v>
      </c>
      <c r="C13" s="6" t="s">
        <v>362</v>
      </c>
      <c r="D13" s="6" t="s">
        <v>363</v>
      </c>
      <c r="E13" s="6" t="s">
        <v>364</v>
      </c>
    </row>
    <row r="14" spans="1:5" ht="30" customHeight="1" x14ac:dyDescent="0.2">
      <c r="A14" s="7" t="s">
        <v>375</v>
      </c>
      <c r="B14" s="18" t="s">
        <v>391</v>
      </c>
      <c r="C14" s="17" t="s">
        <v>473</v>
      </c>
      <c r="D14" s="9" t="str">
        <f>IF(COUNTIFS('Sales Data'!D4:D203,"James Wilson")&gt;20,"High","Normal")</f>
        <v>Normal</v>
      </c>
      <c r="E14" s="10" t="str">
        <f>IF(COUNTIFS('Sales Data'!D4:D203,"James Wilson")&gt;20,"High Volume Rep","Normal")</f>
        <v>Normal</v>
      </c>
    </row>
    <row r="15" spans="1:5" ht="48" customHeight="1" x14ac:dyDescent="0.2">
      <c r="A15" s="7" t="s">
        <v>377</v>
      </c>
      <c r="B15" s="18" t="s">
        <v>392</v>
      </c>
      <c r="C15" s="17" t="s">
        <v>474</v>
      </c>
      <c r="D15" s="9" t="str">
        <f>IF(COUNTIFS('Sales Data'!F4:F203,"Electronics")&gt;30,"High Volume Category","Low Volume Category")</f>
        <v>High Volume Category</v>
      </c>
      <c r="E15" s="10" t="str">
        <f>IF(COUNTIFS('Sales Data'!F4:F203,"Electronics")&gt;30,"High Volume Category","Normal Volume")</f>
        <v>High Volume Category</v>
      </c>
    </row>
    <row r="17" spans="5:5" x14ac:dyDescent="0.2">
      <c r="E17" t="str">
        <f>IF(COUNTIFS('Sales Data'!D4:D203,"James Wilson")&gt;20,"High","Normal")</f>
        <v>Normal</v>
      </c>
    </row>
  </sheetData>
  <mergeCells count="4">
    <mergeCell ref="A1:E1"/>
    <mergeCell ref="A2:E2"/>
    <mergeCell ref="A4:E4"/>
    <mergeCell ref="A12:E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topLeftCell="E13" zoomScaleNormal="100" workbookViewId="0">
      <selection activeCell="F23" sqref="F23"/>
    </sheetView>
  </sheetViews>
  <sheetFormatPr defaultColWidth="8.7421875" defaultRowHeight="15" x14ac:dyDescent="0.2"/>
  <cols>
    <col min="1" max="1" width="13.98828125" customWidth="1"/>
    <col min="2" max="2" width="25.9609375" customWidth="1"/>
    <col min="3" max="5" width="20.04296875" customWidth="1"/>
    <col min="6" max="6" width="32.28515625" customWidth="1"/>
  </cols>
  <sheetData>
    <row r="1" spans="1:5" ht="25.5" customHeight="1" x14ac:dyDescent="0.2">
      <c r="A1" s="19" t="s">
        <v>393</v>
      </c>
      <c r="B1" s="19"/>
      <c r="C1" s="19"/>
      <c r="D1" s="19"/>
      <c r="E1" s="19"/>
    </row>
    <row r="2" spans="1:5" ht="25.5" customHeight="1" x14ac:dyDescent="0.2">
      <c r="A2" s="28" t="s">
        <v>394</v>
      </c>
      <c r="B2" s="28"/>
      <c r="C2" s="28"/>
      <c r="D2" s="28"/>
      <c r="E2" s="28"/>
    </row>
    <row r="4" spans="1:5" ht="19.5" customHeight="1" x14ac:dyDescent="0.2">
      <c r="A4" s="21" t="s">
        <v>395</v>
      </c>
      <c r="B4" s="21"/>
      <c r="C4" s="21"/>
      <c r="D4" s="21"/>
      <c r="E4" s="21"/>
    </row>
    <row r="5" spans="1:5" ht="18" customHeight="1" x14ac:dyDescent="0.2">
      <c r="A5" s="23" t="s">
        <v>396</v>
      </c>
      <c r="B5" s="23"/>
      <c r="C5" s="23"/>
      <c r="D5" s="23"/>
      <c r="E5" s="23"/>
    </row>
    <row r="6" spans="1:5" ht="18" customHeight="1" x14ac:dyDescent="0.2">
      <c r="A6" s="24" t="s">
        <v>397</v>
      </c>
      <c r="B6" s="24"/>
      <c r="C6" s="24"/>
      <c r="D6" s="24"/>
      <c r="E6" s="24"/>
    </row>
    <row r="7" spans="1:5" ht="18" customHeight="1" x14ac:dyDescent="0.2">
      <c r="A7" s="23" t="s">
        <v>398</v>
      </c>
      <c r="B7" s="23"/>
      <c r="C7" s="23"/>
      <c r="D7" s="23"/>
      <c r="E7" s="23"/>
    </row>
    <row r="8" spans="1:5" ht="18" customHeight="1" x14ac:dyDescent="0.2">
      <c r="A8" s="24" t="s">
        <v>399</v>
      </c>
      <c r="B8" s="24"/>
      <c r="C8" s="24"/>
      <c r="D8" s="24"/>
      <c r="E8" s="24"/>
    </row>
    <row r="9" spans="1:5" ht="18" customHeight="1" x14ac:dyDescent="0.2">
      <c r="A9" s="23" t="s">
        <v>400</v>
      </c>
      <c r="B9" s="23"/>
      <c r="C9" s="23"/>
      <c r="D9" s="23"/>
      <c r="E9" s="23"/>
    </row>
    <row r="11" spans="1:5" ht="19.5" customHeight="1" x14ac:dyDescent="0.2">
      <c r="A11" s="21" t="s">
        <v>401</v>
      </c>
      <c r="B11" s="21"/>
      <c r="C11" s="21"/>
      <c r="D11" s="21"/>
      <c r="E11" s="21"/>
    </row>
    <row r="12" spans="1:5" ht="24" customHeight="1" x14ac:dyDescent="0.2">
      <c r="A12" s="27" t="s">
        <v>402</v>
      </c>
      <c r="B12" s="27"/>
      <c r="C12" s="27"/>
      <c r="D12" s="27"/>
      <c r="E12" s="27"/>
    </row>
    <row r="14" spans="1:5" ht="18" customHeight="1" x14ac:dyDescent="0.2">
      <c r="A14" s="6" t="s">
        <v>403</v>
      </c>
      <c r="B14" s="6" t="s">
        <v>404</v>
      </c>
      <c r="C14" s="6" t="s">
        <v>405</v>
      </c>
    </row>
    <row r="15" spans="1:5" ht="30" customHeight="1" x14ac:dyDescent="0.2">
      <c r="A15" s="11" t="s">
        <v>406</v>
      </c>
      <c r="B15" s="25" t="s">
        <v>407</v>
      </c>
      <c r="C15" s="25"/>
      <c r="D15" s="26" t="s">
        <v>408</v>
      </c>
      <c r="E15" s="26"/>
    </row>
    <row r="16" spans="1:5" ht="30" customHeight="1" x14ac:dyDescent="0.2">
      <c r="A16" s="11" t="s">
        <v>409</v>
      </c>
      <c r="B16" s="25" t="s">
        <v>410</v>
      </c>
      <c r="C16" s="25"/>
      <c r="D16" s="26" t="s">
        <v>411</v>
      </c>
      <c r="E16" s="26"/>
    </row>
    <row r="17" spans="1:6" ht="30" customHeight="1" x14ac:dyDescent="0.2">
      <c r="A17" s="11" t="s">
        <v>412</v>
      </c>
      <c r="B17" s="25" t="s">
        <v>413</v>
      </c>
      <c r="C17" s="25"/>
      <c r="D17" s="26" t="s">
        <v>414</v>
      </c>
      <c r="E17" s="26"/>
    </row>
    <row r="18" spans="1:6" ht="30" customHeight="1" x14ac:dyDescent="0.2">
      <c r="A18" s="11" t="s">
        <v>415</v>
      </c>
      <c r="B18" s="25" t="s">
        <v>416</v>
      </c>
      <c r="C18" s="25"/>
      <c r="D18" s="26" t="s">
        <v>417</v>
      </c>
      <c r="E18" s="26"/>
    </row>
    <row r="19" spans="1:6" ht="30" customHeight="1" x14ac:dyDescent="0.2">
      <c r="A19" s="11" t="s">
        <v>418</v>
      </c>
      <c r="B19" s="25" t="s">
        <v>419</v>
      </c>
      <c r="C19" s="25"/>
      <c r="D19" s="26" t="s">
        <v>420</v>
      </c>
      <c r="E19" s="26"/>
    </row>
    <row r="20" spans="1:6" ht="30" customHeight="1" x14ac:dyDescent="0.2">
      <c r="A20" s="11" t="s">
        <v>421</v>
      </c>
      <c r="B20" s="25" t="s">
        <v>422</v>
      </c>
      <c r="C20" s="25"/>
      <c r="D20" s="26" t="s">
        <v>423</v>
      </c>
      <c r="E20" s="26"/>
    </row>
    <row r="22" spans="1:6" ht="19.5" customHeight="1" x14ac:dyDescent="0.2">
      <c r="A22" s="21" t="s">
        <v>424</v>
      </c>
      <c r="B22" s="21"/>
      <c r="C22" s="21"/>
      <c r="D22" s="21"/>
      <c r="E22" s="21"/>
    </row>
    <row r="23" spans="1:6" ht="31.5" customHeight="1" x14ac:dyDescent="0.2">
      <c r="A23" s="22" t="s">
        <v>425</v>
      </c>
      <c r="B23" s="23"/>
      <c r="C23" s="23"/>
      <c r="D23" s="23"/>
      <c r="E23" s="23"/>
      <c r="F23" t="s">
        <v>475</v>
      </c>
    </row>
    <row r="24" spans="1:6" ht="31.5" customHeight="1" x14ac:dyDescent="0.2">
      <c r="A24" s="24" t="s">
        <v>426</v>
      </c>
      <c r="B24" s="24"/>
      <c r="C24" s="24"/>
      <c r="D24" s="24"/>
      <c r="E24" s="24"/>
      <c r="F24" t="s">
        <v>476</v>
      </c>
    </row>
    <row r="25" spans="1:6" ht="31.5" customHeight="1" x14ac:dyDescent="0.2">
      <c r="A25" s="22" t="s">
        <v>427</v>
      </c>
      <c r="B25" s="23"/>
      <c r="C25" s="23"/>
      <c r="D25" s="23"/>
      <c r="E25" s="23"/>
      <c r="F25" t="s">
        <v>477</v>
      </c>
    </row>
    <row r="26" spans="1:6" ht="31.5" customHeight="1" x14ac:dyDescent="0.2">
      <c r="A26" s="24" t="s">
        <v>428</v>
      </c>
      <c r="B26" s="24"/>
      <c r="C26" s="24"/>
      <c r="D26" s="24"/>
      <c r="E26" s="24"/>
      <c r="F26" t="s">
        <v>478</v>
      </c>
    </row>
  </sheetData>
  <mergeCells count="27">
    <mergeCell ref="A1:E1"/>
    <mergeCell ref="A2:E2"/>
    <mergeCell ref="A4:E4"/>
    <mergeCell ref="A5:E5"/>
    <mergeCell ref="A6:E6"/>
    <mergeCell ref="A7:E7"/>
    <mergeCell ref="A8:E8"/>
    <mergeCell ref="A9:E9"/>
    <mergeCell ref="A11:E11"/>
    <mergeCell ref="A12:E12"/>
    <mergeCell ref="B15:C15"/>
    <mergeCell ref="D15:E15"/>
    <mergeCell ref="B16:C16"/>
    <mergeCell ref="D16:E16"/>
    <mergeCell ref="B17:C17"/>
    <mergeCell ref="D17:E17"/>
    <mergeCell ref="B18:C18"/>
    <mergeCell ref="D18:E18"/>
    <mergeCell ref="B19:C19"/>
    <mergeCell ref="D19:E19"/>
    <mergeCell ref="B20:C20"/>
    <mergeCell ref="D20:E20"/>
    <mergeCell ref="A22:E22"/>
    <mergeCell ref="A23:E23"/>
    <mergeCell ref="A24:E24"/>
    <mergeCell ref="A25:E25"/>
    <mergeCell ref="A26:E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zoomScaleNormal="100" workbookViewId="0">
      <selection activeCell="E5" sqref="E5"/>
    </sheetView>
  </sheetViews>
  <sheetFormatPr defaultColWidth="8.7421875" defaultRowHeight="15" x14ac:dyDescent="0.2"/>
  <cols>
    <col min="1" max="2" width="39.953125" customWidth="1"/>
    <col min="3" max="3" width="34.03125" customWidth="1"/>
  </cols>
  <sheetData>
    <row r="1" spans="1:5" ht="25.5" customHeight="1" x14ac:dyDescent="0.2">
      <c r="A1" s="19" t="s">
        <v>429</v>
      </c>
      <c r="B1" s="19"/>
      <c r="C1" s="19"/>
      <c r="D1" s="19"/>
      <c r="E1" s="19"/>
    </row>
    <row r="2" spans="1:5" ht="25.5" customHeight="1" x14ac:dyDescent="0.2">
      <c r="A2" s="29" t="s">
        <v>430</v>
      </c>
      <c r="B2" s="29"/>
      <c r="C2" s="29"/>
      <c r="D2" s="29"/>
      <c r="E2" s="29"/>
    </row>
    <row r="4" spans="1:5" ht="18" customHeight="1" x14ac:dyDescent="0.2">
      <c r="A4" s="1" t="s">
        <v>431</v>
      </c>
      <c r="B4" s="1" t="s">
        <v>432</v>
      </c>
      <c r="C4" s="1" t="s">
        <v>433</v>
      </c>
    </row>
    <row r="5" spans="1:5" ht="39.75" customHeight="1" x14ac:dyDescent="0.2">
      <c r="A5" s="12" t="s">
        <v>434</v>
      </c>
      <c r="B5" s="13" t="s">
        <v>435</v>
      </c>
      <c r="C5" s="14" t="s">
        <v>436</v>
      </c>
    </row>
    <row r="6" spans="1:5" ht="39.75" customHeight="1" x14ac:dyDescent="0.2">
      <c r="A6" s="12" t="s">
        <v>437</v>
      </c>
      <c r="B6" s="13" t="s">
        <v>438</v>
      </c>
      <c r="C6" s="14" t="s">
        <v>439</v>
      </c>
    </row>
    <row r="7" spans="1:5" ht="39.75" customHeight="1" x14ac:dyDescent="0.2">
      <c r="A7" s="12" t="s">
        <v>440</v>
      </c>
      <c r="B7" s="13" t="s">
        <v>441</v>
      </c>
      <c r="C7" s="14" t="s">
        <v>442</v>
      </c>
    </row>
    <row r="8" spans="1:5" ht="39.75" customHeight="1" x14ac:dyDescent="0.2">
      <c r="A8" s="12" t="s">
        <v>443</v>
      </c>
      <c r="B8" s="13" t="s">
        <v>444</v>
      </c>
      <c r="C8" s="14" t="s">
        <v>445</v>
      </c>
    </row>
    <row r="9" spans="1:5" ht="30" customHeight="1" x14ac:dyDescent="0.2">
      <c r="A9" s="30" t="s">
        <v>446</v>
      </c>
      <c r="B9" s="30"/>
      <c r="C9" s="30"/>
      <c r="D9" s="30"/>
      <c r="E9" s="30"/>
    </row>
  </sheetData>
  <mergeCells count="3">
    <mergeCell ref="A1:E1"/>
    <mergeCell ref="A2:E2"/>
    <mergeCell ref="A9:E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8"/>
  <sheetViews>
    <sheetView tabSelected="1" topLeftCell="A29" zoomScaleNormal="100" workbookViewId="0">
      <selection activeCell="C46" sqref="C46"/>
    </sheetView>
  </sheetViews>
  <sheetFormatPr defaultColWidth="8.7421875" defaultRowHeight="15" x14ac:dyDescent="0.2"/>
  <cols>
    <col min="1" max="1" width="37.93359375" customWidth="1"/>
    <col min="2" max="5" width="18.0234375" customWidth="1"/>
  </cols>
  <sheetData>
    <row r="1" spans="1:5" ht="25.5" customHeight="1" x14ac:dyDescent="0.2">
      <c r="A1" s="19" t="s">
        <v>447</v>
      </c>
      <c r="B1" s="19"/>
      <c r="C1" s="19"/>
      <c r="D1" s="19"/>
      <c r="E1" s="19"/>
    </row>
    <row r="2" spans="1:5" ht="25.5" customHeight="1" x14ac:dyDescent="0.2">
      <c r="A2" s="20" t="s">
        <v>448</v>
      </c>
      <c r="B2" s="20"/>
      <c r="C2" s="20"/>
      <c r="D2" s="20"/>
      <c r="E2" s="20"/>
    </row>
    <row r="4" spans="1:5" ht="19.5" customHeight="1" x14ac:dyDescent="0.2">
      <c r="A4" s="21" t="s">
        <v>449</v>
      </c>
      <c r="B4" s="21"/>
      <c r="C4" s="21"/>
      <c r="D4" s="21"/>
      <c r="E4" s="21"/>
    </row>
    <row r="5" spans="1:5" ht="21.75" customHeight="1" x14ac:dyDescent="0.2">
      <c r="A5" s="15" t="s">
        <v>450</v>
      </c>
      <c r="B5" s="31" t="s">
        <v>367</v>
      </c>
      <c r="C5" s="31"/>
      <c r="D5" s="31"/>
      <c r="E5" s="31"/>
    </row>
    <row r="6" spans="1:5" ht="21.75" customHeight="1" x14ac:dyDescent="0.2">
      <c r="A6" s="15" t="s">
        <v>451</v>
      </c>
      <c r="B6" s="32" t="s">
        <v>479</v>
      </c>
      <c r="C6" s="32"/>
      <c r="D6" s="32"/>
      <c r="E6" s="32"/>
    </row>
    <row r="7" spans="1:5" ht="21.75" customHeight="1" x14ac:dyDescent="0.2">
      <c r="A7" s="15" t="s">
        <v>452</v>
      </c>
      <c r="B7" s="31" t="s">
        <v>480</v>
      </c>
      <c r="C7" s="31"/>
      <c r="D7" s="31"/>
      <c r="E7" s="31"/>
    </row>
    <row r="8" spans="1:5" ht="21.75" customHeight="1" x14ac:dyDescent="0.2">
      <c r="A8" s="15" t="s">
        <v>453</v>
      </c>
      <c r="B8" s="31"/>
      <c r="C8" s="31"/>
      <c r="D8" s="31"/>
      <c r="E8" s="31"/>
    </row>
    <row r="9" spans="1:5" ht="21.75" customHeight="1" x14ac:dyDescent="0.2">
      <c r="A9" s="15" t="s">
        <v>454</v>
      </c>
      <c r="B9" s="31"/>
      <c r="C9" s="31"/>
      <c r="D9" s="31"/>
      <c r="E9" s="31"/>
    </row>
    <row r="10" spans="1:5" ht="21.75" customHeight="1" x14ac:dyDescent="0.2">
      <c r="A10" s="15" t="s">
        <v>455</v>
      </c>
      <c r="B10" s="31"/>
      <c r="C10" s="31"/>
      <c r="D10" s="31"/>
      <c r="E10" s="31"/>
    </row>
    <row r="11" spans="1:5" ht="30.75" customHeight="1" x14ac:dyDescent="0.2">
      <c r="A11" s="15" t="s">
        <v>456</v>
      </c>
      <c r="B11" s="31" t="s">
        <v>481</v>
      </c>
      <c r="C11" s="31"/>
      <c r="D11" s="31"/>
      <c r="E11" s="31"/>
    </row>
    <row r="13" spans="1:5" ht="19.5" customHeight="1" x14ac:dyDescent="0.2">
      <c r="A13" s="21" t="s">
        <v>457</v>
      </c>
      <c r="B13" s="21"/>
      <c r="C13" s="21"/>
      <c r="D13" s="21"/>
      <c r="E13" s="21"/>
    </row>
    <row r="14" spans="1:5" ht="21.75" customHeight="1" x14ac:dyDescent="0.2">
      <c r="A14" s="15" t="s">
        <v>450</v>
      </c>
      <c r="B14" s="31" t="s">
        <v>376</v>
      </c>
      <c r="C14" s="31"/>
      <c r="D14" s="31"/>
      <c r="E14" s="31"/>
    </row>
    <row r="15" spans="1:5" ht="21.75" customHeight="1" x14ac:dyDescent="0.2">
      <c r="A15" s="15" t="s">
        <v>451</v>
      </c>
      <c r="B15" s="32" t="s">
        <v>482</v>
      </c>
      <c r="C15" s="32"/>
      <c r="D15" s="32"/>
      <c r="E15" s="32"/>
    </row>
    <row r="16" spans="1:5" ht="21.75" customHeight="1" x14ac:dyDescent="0.2">
      <c r="A16" s="15" t="s">
        <v>452</v>
      </c>
      <c r="B16" s="31" t="s">
        <v>480</v>
      </c>
      <c r="C16" s="31"/>
      <c r="D16" s="31"/>
      <c r="E16" s="31"/>
    </row>
    <row r="17" spans="1:5" ht="21.75" customHeight="1" x14ac:dyDescent="0.2">
      <c r="A17" s="15" t="s">
        <v>453</v>
      </c>
      <c r="B17" s="31"/>
      <c r="C17" s="31"/>
      <c r="D17" s="31"/>
      <c r="E17" s="31"/>
    </row>
    <row r="18" spans="1:5" ht="21.75" customHeight="1" x14ac:dyDescent="0.2">
      <c r="A18" s="15" t="s">
        <v>454</v>
      </c>
      <c r="B18" s="31"/>
      <c r="C18" s="31"/>
      <c r="D18" s="31"/>
      <c r="E18" s="31"/>
    </row>
    <row r="19" spans="1:5" ht="21.75" customHeight="1" x14ac:dyDescent="0.2">
      <c r="A19" s="15" t="s">
        <v>455</v>
      </c>
      <c r="B19" s="31"/>
      <c r="C19" s="31"/>
      <c r="D19" s="31"/>
      <c r="E19" s="31"/>
    </row>
    <row r="20" spans="1:5" ht="29.25" customHeight="1" x14ac:dyDescent="0.2">
      <c r="A20" s="15" t="s">
        <v>456</v>
      </c>
      <c r="B20" s="31" t="s">
        <v>481</v>
      </c>
      <c r="C20" s="31"/>
      <c r="D20" s="31"/>
      <c r="E20" s="31"/>
    </row>
    <row r="22" spans="1:5" ht="19.5" customHeight="1" x14ac:dyDescent="0.2">
      <c r="A22" s="21" t="s">
        <v>458</v>
      </c>
      <c r="B22" s="21"/>
      <c r="C22" s="21"/>
      <c r="D22" s="21"/>
      <c r="E22" s="21"/>
    </row>
    <row r="23" spans="1:5" ht="38.25" customHeight="1" x14ac:dyDescent="0.2">
      <c r="A23" s="15" t="s">
        <v>450</v>
      </c>
      <c r="B23" s="31" t="s">
        <v>391</v>
      </c>
      <c r="C23" s="31"/>
      <c r="D23" s="31"/>
      <c r="E23" s="31"/>
    </row>
    <row r="24" spans="1:5" ht="21.75" customHeight="1" x14ac:dyDescent="0.2">
      <c r="A24" s="15" t="s">
        <v>451</v>
      </c>
      <c r="B24" s="32" t="s">
        <v>483</v>
      </c>
      <c r="C24" s="32"/>
      <c r="D24" s="32"/>
      <c r="E24" s="32"/>
    </row>
    <row r="25" spans="1:5" ht="21.75" customHeight="1" x14ac:dyDescent="0.2">
      <c r="A25" s="15" t="s">
        <v>452</v>
      </c>
      <c r="B25" s="31" t="s">
        <v>486</v>
      </c>
      <c r="C25" s="31"/>
      <c r="D25" s="31"/>
      <c r="E25" s="31"/>
    </row>
    <row r="26" spans="1:5" ht="21.75" customHeight="1" x14ac:dyDescent="0.2">
      <c r="A26" s="15" t="s">
        <v>453</v>
      </c>
      <c r="B26" s="31"/>
      <c r="C26" s="31"/>
      <c r="D26" s="31"/>
      <c r="E26" s="31"/>
    </row>
    <row r="27" spans="1:5" ht="21.75" customHeight="1" x14ac:dyDescent="0.2">
      <c r="A27" s="15" t="s">
        <v>454</v>
      </c>
      <c r="B27" s="31"/>
      <c r="C27" s="31"/>
      <c r="D27" s="31"/>
      <c r="E27" s="31"/>
    </row>
    <row r="28" spans="1:5" ht="21.75" customHeight="1" x14ac:dyDescent="0.2">
      <c r="A28" s="15" t="s">
        <v>455</v>
      </c>
      <c r="B28" s="31"/>
      <c r="C28" s="31"/>
      <c r="D28" s="31"/>
      <c r="E28" s="31"/>
    </row>
    <row r="29" spans="1:5" ht="33.75" customHeight="1" x14ac:dyDescent="0.2">
      <c r="A29" s="15" t="s">
        <v>456</v>
      </c>
      <c r="B29" s="31" t="s">
        <v>481</v>
      </c>
      <c r="C29" s="31"/>
      <c r="D29" s="31"/>
      <c r="E29" s="31"/>
    </row>
    <row r="31" spans="1:5" ht="19.5" customHeight="1" x14ac:dyDescent="0.2">
      <c r="A31" s="21" t="s">
        <v>459</v>
      </c>
      <c r="B31" s="21"/>
      <c r="C31" s="21"/>
      <c r="D31" s="21"/>
      <c r="E31" s="21"/>
    </row>
    <row r="32" spans="1:5" ht="47.25" customHeight="1" x14ac:dyDescent="0.2">
      <c r="A32" s="15" t="s">
        <v>450</v>
      </c>
      <c r="B32" s="31" t="s">
        <v>484</v>
      </c>
      <c r="C32" s="31"/>
      <c r="D32" s="31"/>
      <c r="E32" s="31"/>
    </row>
    <row r="33" spans="1:5" ht="39" customHeight="1" x14ac:dyDescent="0.2">
      <c r="A33" s="15" t="s">
        <v>451</v>
      </c>
      <c r="B33" s="32" t="s">
        <v>485</v>
      </c>
      <c r="C33" s="32"/>
      <c r="D33" s="32"/>
      <c r="E33" s="32"/>
    </row>
    <row r="34" spans="1:5" ht="21.75" customHeight="1" x14ac:dyDescent="0.2">
      <c r="A34" s="15" t="s">
        <v>452</v>
      </c>
      <c r="B34" s="31" t="s">
        <v>487</v>
      </c>
      <c r="C34" s="31"/>
      <c r="D34" s="31"/>
      <c r="E34" s="31"/>
    </row>
    <row r="35" spans="1:5" ht="39" customHeight="1" x14ac:dyDescent="0.2">
      <c r="A35" s="15" t="s">
        <v>453</v>
      </c>
      <c r="B35" s="31" t="s">
        <v>488</v>
      </c>
      <c r="C35" s="31"/>
      <c r="D35" s="31"/>
      <c r="E35" s="31"/>
    </row>
    <row r="36" spans="1:5" ht="21.75" customHeight="1" x14ac:dyDescent="0.2">
      <c r="A36" s="15" t="s">
        <v>454</v>
      </c>
      <c r="B36" s="31" t="s">
        <v>489</v>
      </c>
      <c r="C36" s="31"/>
      <c r="D36" s="31"/>
      <c r="E36" s="31"/>
    </row>
    <row r="37" spans="1:5" ht="21.75" customHeight="1" x14ac:dyDescent="0.2">
      <c r="A37" s="15" t="s">
        <v>455</v>
      </c>
      <c r="B37" s="31" t="s">
        <v>490</v>
      </c>
      <c r="C37" s="31"/>
      <c r="D37" s="31"/>
      <c r="E37" s="31"/>
    </row>
    <row r="38" spans="1:5" ht="41.25" customHeight="1" x14ac:dyDescent="0.2">
      <c r="A38" s="15" t="s">
        <v>456</v>
      </c>
      <c r="B38" s="31" t="s">
        <v>491</v>
      </c>
      <c r="C38" s="31"/>
      <c r="D38" s="31"/>
      <c r="E38" s="31"/>
    </row>
  </sheetData>
  <mergeCells count="34">
    <mergeCell ref="A1:E1"/>
    <mergeCell ref="A2:E2"/>
    <mergeCell ref="A4:E4"/>
    <mergeCell ref="B5:E5"/>
    <mergeCell ref="B6:E6"/>
    <mergeCell ref="B7:E7"/>
    <mergeCell ref="B8:E8"/>
    <mergeCell ref="B9:E9"/>
    <mergeCell ref="B10:E10"/>
    <mergeCell ref="B11:E11"/>
    <mergeCell ref="A13:E13"/>
    <mergeCell ref="B14:E14"/>
    <mergeCell ref="B15:E15"/>
    <mergeCell ref="B16:E16"/>
    <mergeCell ref="B17:E17"/>
    <mergeCell ref="B18:E18"/>
    <mergeCell ref="B19:E19"/>
    <mergeCell ref="B20:E20"/>
    <mergeCell ref="A22:E22"/>
    <mergeCell ref="B23:E23"/>
    <mergeCell ref="B24:E24"/>
    <mergeCell ref="B25:E25"/>
    <mergeCell ref="B26:E26"/>
    <mergeCell ref="B27:E27"/>
    <mergeCell ref="B28:E28"/>
    <mergeCell ref="B35:E35"/>
    <mergeCell ref="B36:E36"/>
    <mergeCell ref="B37:E37"/>
    <mergeCell ref="B38:E38"/>
    <mergeCell ref="B29:E29"/>
    <mergeCell ref="A31:E31"/>
    <mergeCell ref="B32:E32"/>
    <mergeCell ref="B33:E33"/>
    <mergeCell ref="B34:E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6</vt:i4>
      </vt:variant>
    </vt:vector>
  </HeadingPairs>
  <TitlesOfParts>
    <vt:vector size="6" baseType="lpstr">
      <vt:lpstr>Sales Data</vt:lpstr>
      <vt:lpstr>SUMIFS Practice</vt:lpstr>
      <vt:lpstr>COUNTIFS Practice</vt:lpstr>
      <vt:lpstr>XLOOKUP Concept</vt:lpstr>
      <vt:lpstr>Orbitex Callback</vt:lpstr>
      <vt:lpstr>AI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Mudasir Ahmed</cp:lastModifiedBy>
  <cp:revision>0</cp:revision>
  <dcterms:created xsi:type="dcterms:W3CDTF">2026-08-07T05:13:27Z</dcterms:created>
  <dcterms:modified xsi:type="dcterms:W3CDTF">2026-07-09T20:34:47Z</dcterms:modified>
  <dc:language>en-US</dc:language>
</cp:coreProperties>
</file>