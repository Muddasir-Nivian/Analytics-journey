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amran Pc\Downloads\"/>
    </mc:Choice>
  </mc:AlternateContent>
  <xr:revisionPtr revIDLastSave="0" documentId="8_{9B9E3AD1-320C-41E7-84CC-0362E06DB84F}" xr6:coauthVersionLast="47" xr6:coauthVersionMax="47" xr10:uidLastSave="{00000000-0000-0000-0000-000000000000}"/>
  <bookViews>
    <workbookView xWindow="-120" yWindow="-120" windowWidth="24240" windowHeight="13140" tabRatio="500" firstSheet="2" activeTab="5" xr2:uid="{00000000-000D-0000-FFFF-FFFF00000000}"/>
  </bookViews>
  <sheets>
    <sheet name="Raw Customer Data" sheetId="1" r:id="rId1"/>
    <sheet name="Text Functions Practice" sheetId="2" r:id="rId2"/>
    <sheet name="Cleaning Workspace" sheetId="3" r:id="rId3"/>
    <sheet name="Duplicates Practice" sheetId="4" r:id="rId4"/>
    <sheet name="Orbitex Callback" sheetId="5" r:id="rId5"/>
    <sheet name="AI Audit" sheetId="6" r:id="rId6"/>
  </sheets>
  <definedNames>
    <definedName name="_xlnm._FilterDatabase" localSheetId="0" hidden="1">'Raw Customer Data'!$A$3:$J$21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7" i="3" l="1"/>
  <c r="B7" i="4"/>
  <c r="D46" i="3"/>
  <c r="D45" i="3"/>
  <c r="D44" i="3"/>
  <c r="D43" i="3"/>
  <c r="D42" i="3"/>
  <c r="D20" i="3"/>
  <c r="D19" i="3"/>
  <c r="B19" i="3"/>
  <c r="D18" i="3"/>
  <c r="D17" i="3"/>
  <c r="D16" i="3"/>
  <c r="D15" i="3"/>
  <c r="D11" i="3"/>
  <c r="D10" i="3"/>
  <c r="D9" i="3"/>
  <c r="D8" i="3"/>
  <c r="D7" i="3"/>
  <c r="B11" i="4"/>
  <c r="A11" i="4"/>
  <c r="B10" i="4"/>
  <c r="A10" i="4"/>
  <c r="B9" i="4"/>
  <c r="A9" i="4"/>
  <c r="B8" i="4"/>
  <c r="A8" i="4"/>
  <c r="A7" i="4"/>
  <c r="B46" i="3"/>
  <c r="A46" i="3"/>
  <c r="B45" i="3"/>
  <c r="A45" i="3"/>
  <c r="B44" i="3"/>
  <c r="A44" i="3"/>
  <c r="B43" i="3"/>
  <c r="A43" i="3"/>
  <c r="B42" i="3"/>
  <c r="A42" i="3"/>
  <c r="A37" i="3"/>
  <c r="B36" i="3"/>
  <c r="A36" i="3"/>
  <c r="B35" i="3"/>
  <c r="A35" i="3"/>
  <c r="B34" i="3"/>
  <c r="A34" i="3"/>
  <c r="A33" i="3"/>
  <c r="B28" i="3"/>
  <c r="A28" i="3"/>
  <c r="B27" i="3"/>
  <c r="A27" i="3"/>
  <c r="B26" i="3"/>
  <c r="A26" i="3"/>
  <c r="B25" i="3"/>
  <c r="A25" i="3"/>
  <c r="B24" i="3"/>
  <c r="A24" i="3"/>
  <c r="A19" i="3"/>
  <c r="B18" i="3"/>
  <c r="A18" i="3"/>
  <c r="B17" i="3"/>
  <c r="A17" i="3"/>
  <c r="B16" i="3"/>
  <c r="A16" i="3"/>
  <c r="B15" i="3"/>
  <c r="A15" i="3"/>
  <c r="B11" i="3"/>
  <c r="A11" i="3"/>
  <c r="B10" i="3"/>
  <c r="A10" i="3"/>
  <c r="B9" i="3"/>
  <c r="A9" i="3"/>
  <c r="B8" i="3"/>
  <c r="A8" i="3"/>
  <c r="B7" i="3"/>
  <c r="A7" i="3"/>
  <c r="B33" i="3" l="1"/>
</calcChain>
</file>

<file path=xl/sharedStrings.xml><?xml version="1.0" encoding="utf-8"?>
<sst xmlns="http://schemas.openxmlformats.org/spreadsheetml/2006/main" count="427" uniqueCount="331">
  <si>
    <t>NEXACORE RETAIL — Raw Customer Feedback Export (Deliberately Messy)</t>
  </si>
  <si>
    <t>This is a raw export from Nexacore's customer feedback system. Messy on purpose — extra spaces, mixed case, combined fields, duplicate entries. Your job this week: clean it using text functions.</t>
  </si>
  <si>
    <t>Entry ID</t>
  </si>
  <si>
    <t>Feedback Text</t>
  </si>
  <si>
    <t>Rating</t>
  </si>
  <si>
    <t>FB-001</t>
  </si>
  <si>
    <t>FB-002</t>
  </si>
  <si>
    <t>Sarah Connor</t>
  </si>
  <si>
    <t>5</t>
  </si>
  <si>
    <t>FB-003</t>
  </si>
  <si>
    <t>2</t>
  </si>
  <si>
    <t>FB-004</t>
  </si>
  <si>
    <t>FB-005</t>
  </si>
  <si>
    <t>james.wilson@email.com</t>
  </si>
  <si>
    <t>FB-006</t>
  </si>
  <si>
    <t>1</t>
  </si>
  <si>
    <t>FB-007</t>
  </si>
  <si>
    <t>lisa.martinez@email.com</t>
  </si>
  <si>
    <t>4</t>
  </si>
  <si>
    <t>FB-008</t>
  </si>
  <si>
    <t>David Lee</t>
  </si>
  <si>
    <t>FB-009</t>
  </si>
  <si>
    <t>Jennifer Taylor</t>
  </si>
  <si>
    <t>jennifer.taylor@email.com</t>
  </si>
  <si>
    <t>FB-010</t>
  </si>
  <si>
    <t>Chris Anderson</t>
  </si>
  <si>
    <t>3</t>
  </si>
  <si>
    <t>FB-011</t>
  </si>
  <si>
    <t>amanda.thomas@email.com</t>
  </si>
  <si>
    <t>FB-012</t>
  </si>
  <si>
    <t>FB-013</t>
  </si>
  <si>
    <t>Ashley White</t>
  </si>
  <si>
    <t>ashley.white@email.com</t>
  </si>
  <si>
    <t>FB-014</t>
  </si>
  <si>
    <t>mike.johnson@email.com</t>
  </si>
  <si>
    <t>FB-015</t>
  </si>
  <si>
    <t>Matthew Harris</t>
  </si>
  <si>
    <t>FB-016</t>
  </si>
  <si>
    <t>samantha.martin@email.com</t>
  </si>
  <si>
    <t>FB-017</t>
  </si>
  <si>
    <t>Daniel Garcia</t>
  </si>
  <si>
    <t>FB-018</t>
  </si>
  <si>
    <t>Jessica Rodriguez</t>
  </si>
  <si>
    <t>andrew.lewis@email.com</t>
  </si>
  <si>
    <t>Michelle Lee</t>
  </si>
  <si>
    <t>Week 7 — Text Functions Practice</t>
  </si>
  <si>
    <t>Each function below fixes a specific real problem visible in Raw Customer Data. Learn the function by fixing the exact thing it's meant to fix.</t>
  </si>
  <si>
    <t>REFERENCE TABLE — What Each Function Actually Fixes</t>
  </si>
  <si>
    <t>Function</t>
  </si>
  <si>
    <t>What it does</t>
  </si>
  <si>
    <t>Real problem it fixes here</t>
  </si>
  <si>
    <t>Example</t>
  </si>
  <si>
    <t>TRIM</t>
  </si>
  <si>
    <t>Removes extra spaces from text — leading, trailing, and repeated spaces between words</t>
  </si>
  <si>
    <t>Customer Name column has names like '  james wilson  ' with extra spaces</t>
  </si>
  <si>
    <t>=TRIM(B4)</t>
  </si>
  <si>
    <t>UPPER</t>
  </si>
  <si>
    <t>Converts all letters to uppercase</t>
  </si>
  <si>
    <t>Standardizing codes for comparison</t>
  </si>
  <si>
    <t>=UPPER(B4)</t>
  </si>
  <si>
    <t>LOWER</t>
  </si>
  <si>
    <t>Converts all letters to lowercase</t>
  </si>
  <si>
    <t>Standardizing emails which should always be lowercase</t>
  </si>
  <si>
    <t>=LOWER(C4)</t>
  </si>
  <si>
    <t>PROPER</t>
  </si>
  <si>
    <t>Capitalizes the first letter of each word</t>
  </si>
  <si>
    <t>Names typed in lowercase like 'james wilson' need proper capitalization</t>
  </si>
  <si>
    <t>=PROPER(B4)</t>
  </si>
  <si>
    <t>LEN</t>
  </si>
  <si>
    <t>Counts the number of characters in text</t>
  </si>
  <si>
    <t>Checking if phone numbers have the expected length after cleaning</t>
  </si>
  <si>
    <t>=LEN(H4)</t>
  </si>
  <si>
    <t>LEFT</t>
  </si>
  <si>
    <t>Extracts characters from the START of text, you choose how many</t>
  </si>
  <si>
    <t>Getting 'NORTH' out of 'NORTH-NYC01'</t>
  </si>
  <si>
    <t>=LEFT(D4,5)</t>
  </si>
  <si>
    <t>RIGHT</t>
  </si>
  <si>
    <t>Extracts characters from the END of text, you choose how many</t>
  </si>
  <si>
    <t>Getting the last 4 digits of a phone number</t>
  </si>
  <si>
    <t>=RIGHT(H4,4)</t>
  </si>
  <si>
    <t>MID</t>
  </si>
  <si>
    <t>Extracts characters from the MIDDLE of text — you choose start position and length</t>
  </si>
  <si>
    <t>Getting 'NYC01' out of 'NORTH-NYC01'</t>
  </si>
  <si>
    <t>=MID(D4,7,5)</t>
  </si>
  <si>
    <t>FIND</t>
  </si>
  <si>
    <t>Finds the position number where a specific character or text appears</t>
  </si>
  <si>
    <t>Finding WHERE the dash is in 'NORTH-NYC01' so LEFT/MID know where to cut</t>
  </si>
  <si>
    <t>=FIND("-",D4)</t>
  </si>
  <si>
    <t>SUBSTITUTE</t>
  </si>
  <si>
    <t>Replaces one piece of text with another, everywhere it appears</t>
  </si>
  <si>
    <t>Replacing dashes with spaces, or fixing a typo pattern across many cells</t>
  </si>
  <si>
    <t>=SUBSTITUTE(D4,"-"," ")</t>
  </si>
  <si>
    <t>CONCATENATE / &amp;</t>
  </si>
  <si>
    <t>Joins multiple pieces of text together into one</t>
  </si>
  <si>
    <t>Combining cleaned First Name and Last Name back into one Full Name</t>
  </si>
  <si>
    <t>=B4&amp;" "&amp;C4</t>
  </si>
  <si>
    <t>Week 7 — Cleaning Workspace</t>
  </si>
  <si>
    <t>Reference 'Raw Customer Data' sheet. Build cleaned columns here using the text functions from the reference sheet. Yellow = your formulas.</t>
  </si>
  <si>
    <t>TASK 1 — Clean the Customer Name</t>
  </si>
  <si>
    <t>Fix: extra spaces (TRIM) + wrong capitalization (PROPER). Combine both in one formula: =PROPER(TRIM(cell))</t>
  </si>
  <si>
    <t>Raw Name</t>
  </si>
  <si>
    <t>Your Cleaned Formula</t>
  </si>
  <si>
    <t>Result</t>
  </si>
  <si>
    <t>TASK 2 — Clean the Email (lowercase + trim)</t>
  </si>
  <si>
    <t>Raw Email</t>
  </si>
  <si>
    <t>TASK 3 — Split Region-Store Code into TWO columns</t>
  </si>
  <si>
    <t>'NORTH-NYC01' needs to become Region='NORTH' and Store Code='NYC01'. Step 1: find where the dash is with FIND. Step 2: use LEFT for Region, MID or RIGHT for Store Code.</t>
  </si>
  <si>
    <t>Raw Combined</t>
  </si>
  <si>
    <t>Region Formula</t>
  </si>
  <si>
    <t>Store Code Formula</t>
  </si>
  <si>
    <t>TASK 4 — Extract Product Code and Product Name separately</t>
  </si>
  <si>
    <t>'EL-2201 iPhone 15' needs Product Code='EL-2201' and Product Name='iPhone 15'. The space after the code is your split point — use FIND to locate it.</t>
  </si>
  <si>
    <t>Product Code Formula</t>
  </si>
  <si>
    <t>Product Name Formula</t>
  </si>
  <si>
    <t>TASK 5 — Standardize Phone Numbers</t>
  </si>
  <si>
    <t>Phone numbers appear as '212-555-0198', '310.555.0142', '(312) 555-0176' — three different formats for the same thing. Use SUBSTITUTE to remove dots, parentheses, and spaces, leaving only digits. Then decide on ONE consistent format.</t>
  </si>
  <si>
    <t>Raw Phone</t>
  </si>
  <si>
    <t>Your Cleaning Formula</t>
  </si>
  <si>
    <t>Week 7 — Finding and Removing Duplicates</t>
  </si>
  <si>
    <t>Look at Raw Customer Data closely. Some feedback entries are duplicates — same customer, same product, same feedback text, submitted twice. Find them BEFORE using Excel's Remove Duplicates tool, so you understand what it's actually removing.</t>
  </si>
  <si>
    <t>TASK 1 — Flag Duplicates with a Formula FIRST</t>
  </si>
  <si>
    <t>Before deleting anything, use COUNTIFS to flag which rows are duplicates based on Customer Name + Product. This protects you from deleting something that only LOOKS like a duplicate.</t>
  </si>
  <si>
    <t>Customer + Product Check</t>
  </si>
  <si>
    <t>Your COUNTIFS Formula</t>
  </si>
  <si>
    <t>Duplicate?</t>
  </si>
  <si>
    <t>TASK 2 — Use Excel's Built-In Remove Duplicates Tool</t>
  </si>
  <si>
    <t>Step 1: Select your cleaned data range (once Tasks 1-5 in Cleaning Workspace are complete).</t>
  </si>
  <si>
    <t>Step 2: Data tab → Remove Duplicates.</t>
  </si>
  <si>
    <t>Step 3: Excel asks which columns to check. Tick Customer Name and Product Name — NOT Entry ID, since Entry ID is always unique even for duplicate feedback.</t>
  </si>
  <si>
    <t>Step 4: Click OK. Excel tells you how many duplicate rows were found and removed.</t>
  </si>
  <si>
    <t>Step 5: Compare this count to what your COUNTIFS formula predicted in Task 1. Do they match?</t>
  </si>
  <si>
    <t>WHY CHECK FIRST INSTEAD OF JUST CLICKING REMOVE DUPLICATES</t>
  </si>
  <si>
    <t>Remove Duplicates permanently deletes rows — there is no formula trail showing what was removed or why.</t>
  </si>
  <si>
    <t>If two customers happen to share a name but bought different products, checking the WRONG columns could delete a real, unique entry.</t>
  </si>
  <si>
    <t>A COUNTIFS flag first lets you SEE every duplicate before committing to deletion — this is the audit step AI would skip if you just told it 'remove duplicates'.</t>
  </si>
  <si>
    <t>Orbitex Callback — Revisiting Week 2 With Text Functions</t>
  </si>
  <si>
    <t>In Week 2, city and category inconsistencies (nrth, NORTH, north) were caught using IF and COUNTIF against an allowed list. That found the problem. It did not FIX it. Text functions fix it.</t>
  </si>
  <si>
    <t>Then (Week 2)</t>
  </si>
  <si>
    <t>Now (Week 7)</t>
  </si>
  <si>
    <t>The Task</t>
  </si>
  <si>
    <t>Flag 'nrth' as Invalid, then manually retype it as 'North' in every row</t>
  </si>
  <si>
    <t>=PROPER(TRIM(city_cell)) fixes spacing and casing across every row instantly</t>
  </si>
  <si>
    <t>Standardizing inconsistent city names</t>
  </si>
  <si>
    <t>Flag mixed case categories as Invalid, no automatic fix</t>
  </si>
  <si>
    <t>=UPPER(category_cell) or PROPER() standardizes every category in one formula, dragged down</t>
  </si>
  <si>
    <t>Standardizing inconsistent category names</t>
  </si>
  <si>
    <t>No way to separate combined fields — data stayed messy</t>
  </si>
  <si>
    <t>=LEFT(), =MID(), =FIND() split combined fields into clean separate columns</t>
  </si>
  <si>
    <t>Splitting Region-Store Code into two usable columns</t>
  </si>
  <si>
    <t>Week 2 taught you to FIND problems. Week 7 taught you to FIX them without retyping a single cell by hand.</t>
  </si>
  <si>
    <t>Week 7 — AI Audit Log</t>
  </si>
  <si>
    <t>Give each cleaning task to AI first. Record the exact formula it produced and check it against the actual result before marking correct.</t>
  </si>
  <si>
    <t>AUDIT 1 — Name cleaning (TRIM + PROPER)</t>
  </si>
  <si>
    <t>Task given to AI</t>
  </si>
  <si>
    <t>Exact formula/action AI produced</t>
  </si>
  <si>
    <t>Was AI correct? Yes / No / Partially</t>
  </si>
  <si>
    <t>What was wrong or missing</t>
  </si>
  <si>
    <t>Error type: Wrong position number / Wrong function choice / Assumed column / Other</t>
  </si>
  <si>
    <t>How I caught it</t>
  </si>
  <si>
    <t>What this reveals about AI limitations in text cleaning</t>
  </si>
  <si>
    <t>AUDIT 2 — Splitting Region-Store Code with FIND + LEFT/MID</t>
  </si>
  <si>
    <t>AUDIT 3 — Splitting Product Code and Name</t>
  </si>
  <si>
    <t>AUDIT 4 — Phone number standardization with SUBSTITUTE</t>
  </si>
  <si>
    <t>AUDIT 5 — Ask AI to just 'remove duplicates' with no further instruction. Did it check the right columns, or assume?</t>
  </si>
  <si>
    <t>PROPER(TRIM('Raw Customer Data'!B4))</t>
  </si>
  <si>
    <t>PROPER(TRIM('Raw Customer Data'!B5))</t>
  </si>
  <si>
    <t>PROPER(TRIM('Raw Customer Data'!B6))</t>
  </si>
  <si>
    <t>PROPER(TRIM('Raw Customer Data'!B7))</t>
  </si>
  <si>
    <t>PROPER(TRIM('Raw Customer Data'!B8))</t>
  </si>
  <si>
    <t>TRIM(LOWER('Raw Customer Data'!C4))</t>
  </si>
  <si>
    <t>LOWER(TRIM('Raw Customer Data'!C5))</t>
  </si>
  <si>
    <t>TRIM(LOWER('Raw Customer Data'!C6))</t>
  </si>
  <si>
    <t>LOWER(TRIM('Raw Customer Data'!C7))</t>
  </si>
  <si>
    <t>TRIM(LOWER('Raw Customer Data'!C8))</t>
  </si>
  <si>
    <t>LEFT('Raw Customer Data'!D4,5)</t>
  </si>
  <si>
    <t>LEFT('Raw Customer Data'!D5,5)</t>
  </si>
  <si>
    <t>LEFT('Raw Customer Data'!D6,4)</t>
  </si>
  <si>
    <t>LEFT('Raw Customer Data'!D7,4)</t>
  </si>
  <si>
    <t>LEFT('Raw Customer Data'!D8,5)</t>
  </si>
  <si>
    <t>MID('Raw Customer Data'!D4,7,5)</t>
  </si>
  <si>
    <t>MID('Raw Customer Data'!D5,7,5)</t>
  </si>
  <si>
    <t>MID('Raw Customer Data'!D6,6,5)</t>
  </si>
  <si>
    <t>MID('Raw Customer Data'!D7,6,5)</t>
  </si>
  <si>
    <t>MID('Raw Customer Data'!D8,7,5)</t>
  </si>
  <si>
    <t>LEFT('Raw Customer Data'!E5,7)</t>
  </si>
  <si>
    <t>LEFT('Raw Customer Data'!E6,7)</t>
  </si>
  <si>
    <t>LEFT('Raw Customer Data'!E4,7)</t>
  </si>
  <si>
    <t>LEFT('Raw Customer Data'!E7,7)</t>
  </si>
  <si>
    <t>LEFT('Raw Customer Data'!E8,7)</t>
  </si>
  <si>
    <t>MID('Raw Customer Data'!E4,9,99)</t>
  </si>
  <si>
    <t>MID('Raw Customer Data'!E5,9,99)</t>
  </si>
  <si>
    <t>MID('Raw Customer Data'!E6,9,99)</t>
  </si>
  <si>
    <t>MID('Raw Customer Data'!E7,9,99)</t>
  </si>
  <si>
    <t>MID('Raw Customer Data'!E8,9,99)</t>
  </si>
  <si>
    <t>SUBSTITUTE('Raw Customer Data'!H4,"-","")</t>
  </si>
  <si>
    <t>SUBSTITUTE('Raw Customer Data'!H5,".","")</t>
  </si>
  <si>
    <t>SUBSTITUTE('Raw Customer Data'!H6," ","")</t>
  </si>
  <si>
    <t>SUBSTITUTE('Raw Customer Data'!H7,"-","")</t>
  </si>
  <si>
    <t>SUBSTITUTE('Raw Customer Data'!H8,"-","'")</t>
  </si>
  <si>
    <t>James Wilson</t>
  </si>
  <si>
    <t>Mike Johnson</t>
  </si>
  <si>
    <t>Emily Davis</t>
  </si>
  <si>
    <t>Robert Brown</t>
  </si>
  <si>
    <t>Lisa Martinez</t>
  </si>
  <si>
    <t>Amanda Thomas</t>
  </si>
  <si>
    <t>Joshua Jackson</t>
  </si>
  <si>
    <t>Samantha Martin</t>
  </si>
  <si>
    <t>Andrew Lewis</t>
  </si>
  <si>
    <t>COUNTIFS('Raw Customer Data'!B4:B23,'Raw Customer Data'!B4,'Raw Customer Data'!E4:E23,'Raw Customer Data'!E4)</t>
  </si>
  <si>
    <t>Yes</t>
  </si>
  <si>
    <t>COUNTIFS('Raw Customer Data'!B4:B23,'Raw Customer Data'!B5,'Raw Customer Data'!E4:E23,'Raw Customer Data'!E5)</t>
  </si>
  <si>
    <t>No</t>
  </si>
  <si>
    <t>COUNTIFS('Raw Customer Data'!B4:B23,'Raw Customer Data'!B6,'Raw Customer Data'!E4:E23,'Raw Customer Data'!E6)</t>
  </si>
  <si>
    <t>COUNTIFS('Raw Customer Data'!B4:B23,'Raw Customer Data'!B7,'Raw Customer Data'!E4:E23,'Raw Customer Data'!E7)</t>
  </si>
  <si>
    <t>sarah.connor@email.com</t>
  </si>
  <si>
    <t>emily.davis@email.com</t>
  </si>
  <si>
    <t>robert.brown@email.com</t>
  </si>
  <si>
    <t>david.lee@email.com</t>
  </si>
  <si>
    <t>chris.anderson@email.com</t>
  </si>
  <si>
    <t>joshua.jackson@email.com</t>
  </si>
  <si>
    <t>matthew.harris@email.com</t>
  </si>
  <si>
    <t>daniel.garcia@email.com</t>
  </si>
  <si>
    <t>jessica.rodriguez@email.com</t>
  </si>
  <si>
    <t>michelle.lee@email.com</t>
  </si>
  <si>
    <t>Region</t>
  </si>
  <si>
    <t>NORTH</t>
  </si>
  <si>
    <t>SOUTH</t>
  </si>
  <si>
    <t>EAST</t>
  </si>
  <si>
    <t>WEST</t>
  </si>
  <si>
    <t>Store Code</t>
  </si>
  <si>
    <t>NYC01</t>
  </si>
  <si>
    <t>LAX03</t>
  </si>
  <si>
    <t>HI02</t>
  </si>
  <si>
    <t>OU04</t>
  </si>
  <si>
    <t>NYC02</t>
  </si>
  <si>
    <t>HI05</t>
  </si>
  <si>
    <t>OU06</t>
  </si>
  <si>
    <t>LAX07</t>
  </si>
  <si>
    <t>Product Name</t>
  </si>
  <si>
    <t>Product Code</t>
  </si>
  <si>
    <t>EL-2201</t>
  </si>
  <si>
    <t>CL-1102</t>
  </si>
  <si>
    <t>HA-3301</t>
  </si>
  <si>
    <t>BE-4401</t>
  </si>
  <si>
    <t>EL-2205</t>
  </si>
  <si>
    <t>CL-1108</t>
  </si>
  <si>
    <t>EL-2210</t>
  </si>
  <si>
    <t>HA-3305</t>
  </si>
  <si>
    <t>BE-4402</t>
  </si>
  <si>
    <t>CL-1110</t>
  </si>
  <si>
    <t>HA-3308</t>
  </si>
  <si>
    <t>EL-2215</t>
  </si>
  <si>
    <t>BE-4405</t>
  </si>
  <si>
    <t>CL-1115</t>
  </si>
  <si>
    <t>CL-1120</t>
  </si>
  <si>
    <t>BE-4408</t>
  </si>
  <si>
    <t>iPhone 15</t>
  </si>
  <si>
    <t>Nike Hoodie</t>
  </si>
  <si>
    <t>Dyson Vacuum</t>
  </si>
  <si>
    <t>Fenty Foundation</t>
  </si>
  <si>
    <t>Samsung TV</t>
  </si>
  <si>
    <t>Levi Jeans</t>
  </si>
  <si>
    <t>Dell Laptop</t>
  </si>
  <si>
    <t>KitchenAid Mixer</t>
  </si>
  <si>
    <t>Dior Perfume</t>
  </si>
  <si>
    <t>Jordan Sneakers</t>
  </si>
  <si>
    <t>Instant Pot</t>
  </si>
  <si>
    <t>Sony Headphones</t>
  </si>
  <si>
    <t>MAC Lipstick</t>
  </si>
  <si>
    <t>Adidas Tracksuit</t>
  </si>
  <si>
    <t>Ralph Lauren Polo</t>
  </si>
  <si>
    <t>Urban Decay Palette</t>
  </si>
  <si>
    <t>2125550198</t>
  </si>
  <si>
    <t>3105550142</t>
  </si>
  <si>
    <t>3125550176</t>
  </si>
  <si>
    <t>7135550189</t>
  </si>
  <si>
    <t>2125550201</t>
  </si>
  <si>
    <t>3105550155</t>
  </si>
  <si>
    <t>3125550188</t>
  </si>
  <si>
    <t>3125550199</t>
  </si>
  <si>
    <t>7135550167</t>
  </si>
  <si>
    <t>7135550143</t>
  </si>
  <si>
    <t>2125550212</t>
  </si>
  <si>
    <t>3105550176</t>
  </si>
  <si>
    <t>3105550188</t>
  </si>
  <si>
    <t>2125550223</t>
  </si>
  <si>
    <t>3125550210</t>
  </si>
  <si>
    <t>7135550155</t>
  </si>
  <si>
    <t>2125550234</t>
  </si>
  <si>
    <t>3105550199</t>
  </si>
  <si>
    <t>Great Phone Works Well</t>
  </si>
  <si>
    <t>Love The Hoodie, Fits Perfect</t>
  </si>
  <si>
    <t>Product Broke After 2 Weeks!!</t>
  </si>
  <si>
    <t>Perfect Shade Match</t>
  </si>
  <si>
    <t>Screen Has Dead Pixels</t>
  </si>
  <si>
    <t>Runs A Bit Small, Order Up A Size</t>
  </si>
  <si>
    <t>Fast Delivery, Good Laptop</t>
  </si>
  <si>
    <t>Exactly As Described</t>
  </si>
  <si>
    <t>Scent Doesn'T Last Long</t>
  </si>
  <si>
    <t>Sizing Was Confusing</t>
  </si>
  <si>
    <t>Works Great, Easy To Use</t>
  </si>
  <si>
    <t>Sound Quality Is Excellent</t>
  </si>
  <si>
    <t>Color As Shown Online</t>
  </si>
  <si>
    <t>Comfortable, Good Quality</t>
  </si>
  <si>
    <t>Shrunk After First Wash</t>
  </si>
  <si>
    <t>Beautiful Colors, Great Quality</t>
  </si>
  <si>
    <t>Phone</t>
  </si>
  <si>
    <t>Customer Name</t>
  </si>
  <si>
    <t>Email</t>
  </si>
  <si>
    <t>Name cleaning (TRIM + PROPER)</t>
  </si>
  <si>
    <t>PROPER(TRIM(A2))</t>
  </si>
  <si>
    <t>nothing</t>
  </si>
  <si>
    <t>Splitting Region-Store Code with FIND + LEFT/MID</t>
  </si>
  <si>
    <t>LEFT(A2,FIND(" ",A2)-1)</t>
  </si>
  <si>
    <t>nothing was wrong or missing instead of using FIND and LEFT separately ai used FIND inside the LEFT and applied mathematical logical on num_chars condition in LEFT</t>
  </si>
  <si>
    <t>Formula implementation logic not wrong but different</t>
  </si>
  <si>
    <t>It shows that ai can do work even smarter with mathematics since it is mostly based on it. Mathematics is the logic of ai</t>
  </si>
  <si>
    <t>comparing to my logic and understading the logic and purpose behind -1 in formula</t>
  </si>
  <si>
    <t>Splitting Product Code and Name</t>
  </si>
  <si>
    <t>ai used LEFT(A2,FIND(" ",A2)-1) to split the product code and used MID(A2,FIND(" ",A2)+1,LEN(A2)) to split product name</t>
  </si>
  <si>
    <t>yes</t>
  </si>
  <si>
    <t xml:space="preserve">Nothing was wrong ai just used FIND inside the LEFT and for LEFT formula's num_chars condition it used LEN and reffered to the product code and name combined cell whereas I used 99 as we need till the end of characters of the product name and there was nothing else in the last except the product name </t>
  </si>
  <si>
    <t>Realizing the purpose of LEN in MID</t>
  </si>
  <si>
    <t>Phone number standardization with SUBSTITUTE</t>
  </si>
  <si>
    <t>Nothing</t>
  </si>
  <si>
    <t>comparing it to mine</t>
  </si>
  <si>
    <t>ai used SUBSTITUTE(SUBSTITUTE(SUBSTITUTE(SUBSTITUTE(SUBSTITUTE(Sheet1!D2,".",""),"-","")," ",""),"(",""),")","") to remove every separater and it used IFERROR(TEXT(VALUE(B2),"000-000-0000"),"") to standardize the phone number</t>
  </si>
  <si>
    <t>Nothing ai just used nasted SUBSTITUTE like me and used TEXT and VALUE inside the IFERROR formula to to standardize every phone number which i don't know yet</t>
  </si>
  <si>
    <t>Nothing was wrong in SUBSTITUTE and I don't know about standadizing since I don't know the functions ai used in IFERROR formula</t>
  </si>
  <si>
    <t>remove duplicates</t>
  </si>
  <si>
    <t>ai removed the duplicate rows and returned unique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</si>
</sst>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b/>
      <sz val="13"/>
      <color rgb="FFFFFFFF"/>
      <name val="Arial"/>
      <charset val="1"/>
    </font>
    <font>
      <sz val="9"/>
      <color rgb="FF7B2D00"/>
      <name val="Arial"/>
      <charset val="1"/>
    </font>
    <font>
      <b/>
      <sz val="9"/>
      <color rgb="FFFFFFFF"/>
      <name val="Arial"/>
      <charset val="1"/>
    </font>
    <font>
      <sz val="9"/>
      <color rgb="FF1A1A1A"/>
      <name val="Arial"/>
      <charset val="1"/>
    </font>
    <font>
      <i/>
      <sz val="9"/>
      <color rgb="FF1A1A1A"/>
      <name val="Arial"/>
      <charset val="1"/>
    </font>
    <font>
      <b/>
      <sz val="9"/>
      <color rgb="FF1A2B4A"/>
      <name val="Arial"/>
      <charset val="1"/>
    </font>
    <font>
      <b/>
      <sz val="9"/>
      <color rgb="FF1A1A1A"/>
      <name val="Arial"/>
      <charset val="1"/>
    </font>
    <font>
      <i/>
      <sz val="8"/>
      <color rgb="FF7B2D00"/>
      <name val="Arial"/>
      <charset val="1"/>
    </font>
    <font>
      <i/>
      <sz val="9"/>
      <color rgb="FF1A5C2A"/>
      <name val="Arial"/>
      <charset val="1"/>
    </font>
    <font>
      <i/>
      <sz val="8"/>
      <color rgb="FFAAAAAA"/>
      <name val="Arial"/>
      <charset val="1"/>
    </font>
    <font>
      <i/>
      <sz val="8"/>
      <color rgb="FF791F1F"/>
      <name val="Arial"/>
      <charset val="1"/>
    </font>
    <font>
      <sz val="8"/>
      <color rgb="FF065F46"/>
      <name val="Arial"/>
      <charset val="1"/>
    </font>
    <font>
      <sz val="8"/>
      <color rgb="FF1A1A1A"/>
      <name val="Arial"/>
      <charset val="1"/>
    </font>
    <font>
      <b/>
      <sz val="9"/>
      <name val="Arial"/>
      <charset val="1"/>
    </font>
    <font>
      <sz val="9"/>
      <color rgb="FF1A1A1A"/>
      <name val="Arial"/>
      <family val="2"/>
    </font>
    <font>
      <b/>
      <sz val="9"/>
      <color rgb="FFFFFFFF"/>
      <name val="Arial"/>
      <family val="2"/>
    </font>
  </fonts>
  <fills count="10">
    <fill>
      <patternFill patternType="none"/>
    </fill>
    <fill>
      <patternFill patternType="gray125"/>
    </fill>
    <fill>
      <patternFill patternType="solid">
        <fgColor rgb="FF1A2B4A"/>
        <bgColor rgb="FF003366"/>
      </patternFill>
    </fill>
    <fill>
      <patternFill patternType="solid">
        <fgColor rgb="FFFCE9D4"/>
        <bgColor rgb="FFFCE4D6"/>
      </patternFill>
    </fill>
    <fill>
      <patternFill patternType="solid">
        <fgColor rgb="FF2E5FA3"/>
        <bgColor rgb="FF3366FF"/>
      </patternFill>
    </fill>
    <fill>
      <patternFill patternType="solid">
        <fgColor rgb="FFF5F5F5"/>
        <bgColor rgb="FFFFFFFF"/>
      </patternFill>
    </fill>
    <fill>
      <patternFill patternType="solid">
        <fgColor rgb="FFD6E4F7"/>
        <bgColor rgb="FFE2EFDA"/>
      </patternFill>
    </fill>
    <fill>
      <patternFill patternType="solid">
        <fgColor rgb="FFE2EFDA"/>
        <bgColor rgb="FFD6E4F7"/>
      </patternFill>
    </fill>
    <fill>
      <patternFill patternType="solid">
        <fgColor rgb="FFFFF2CC"/>
        <bgColor rgb="FFFCE9D4"/>
      </patternFill>
    </fill>
    <fill>
      <patternFill patternType="solid">
        <fgColor rgb="FFFCE4D6"/>
        <bgColor rgb="FFFCE9D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s>
  <cellStyleXfs count="1">
    <xf numFmtId="0" fontId="0" fillId="0" borderId="0"/>
  </cellStyleXfs>
  <cellXfs count="28">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6" fillId="6" borderId="1" xfId="0" applyFont="1" applyFill="1" applyBorder="1" applyAlignment="1">
      <alignment horizontal="center" vertical="center" wrapText="1"/>
    </xf>
    <xf numFmtId="0" fontId="7" fillId="0" borderId="1" xfId="0" applyFont="1" applyBorder="1" applyAlignment="1">
      <alignment horizontal="left" vertical="center" wrapText="1"/>
    </xf>
    <xf numFmtId="0" fontId="8" fillId="3"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10" fillId="8" borderId="1" xfId="0" applyFont="1" applyFill="1" applyBorder="1" applyAlignment="1">
      <alignment horizontal="left" vertical="center" wrapText="1"/>
    </xf>
    <xf numFmtId="0" fontId="0" fillId="7" borderId="1" xfId="0" applyFill="1" applyBorder="1" applyAlignment="1">
      <alignment horizontal="left" vertical="center" wrapText="1"/>
    </xf>
    <xf numFmtId="0" fontId="0" fillId="7" borderId="1" xfId="0" applyFill="1" applyBorder="1" applyAlignment="1">
      <alignment horizontal="center" vertical="center" wrapText="1"/>
    </xf>
    <xf numFmtId="0" fontId="11" fillId="9" borderId="1" xfId="0" applyFont="1" applyFill="1" applyBorder="1" applyAlignment="1">
      <alignment horizontal="left" vertical="center" wrapText="1"/>
    </xf>
    <xf numFmtId="0" fontId="12" fillId="7" borderId="1" xfId="0" applyFont="1" applyFill="1" applyBorder="1" applyAlignment="1">
      <alignment horizontal="left" vertical="center" wrapText="1"/>
    </xf>
    <xf numFmtId="0" fontId="13" fillId="5" borderId="1" xfId="0" applyFont="1" applyFill="1" applyBorder="1" applyAlignment="1">
      <alignment horizontal="left" vertical="center" wrapText="1"/>
    </xf>
    <xf numFmtId="0" fontId="14" fillId="0" borderId="1" xfId="0" applyFont="1" applyBorder="1" applyAlignment="1">
      <alignment horizontal="left" vertical="center" wrapText="1"/>
    </xf>
    <xf numFmtId="0" fontId="4" fillId="0" borderId="0" xfId="0" applyFont="1" applyAlignment="1">
      <alignment horizontal="center" vertical="center" wrapText="1"/>
    </xf>
    <xf numFmtId="0" fontId="15" fillId="5"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5" fillId="6" borderId="0" xfId="0" applyFont="1" applyFill="1" applyAlignment="1">
      <alignment horizontal="left" vertical="center" wrapText="1"/>
    </xf>
    <xf numFmtId="0" fontId="16" fillId="4" borderId="0" xfId="0" applyFont="1" applyFill="1" applyAlignment="1">
      <alignment horizontal="left" vertical="center" wrapText="1"/>
    </xf>
    <xf numFmtId="0" fontId="3" fillId="4" borderId="0" xfId="0" applyFont="1" applyFill="1" applyAlignment="1">
      <alignment horizontal="left" vertical="center" wrapText="1"/>
    </xf>
    <xf numFmtId="0" fontId="0" fillId="8" borderId="2" xfId="0" applyFill="1" applyBorder="1" applyAlignment="1">
      <alignment horizontal="left" vertical="center" wrapText="1"/>
    </xf>
    <xf numFmtId="0" fontId="2" fillId="3" borderId="0" xfId="0" applyFont="1" applyFill="1" applyAlignment="1">
      <alignment horizontal="left" vertical="center" wrapText="1"/>
    </xf>
    <xf numFmtId="0" fontId="9" fillId="7" borderId="0" xfId="0" applyFont="1" applyFill="1" applyAlignment="1">
      <alignment horizontal="left" vertical="center" wrapText="1"/>
    </xf>
    <xf numFmtId="0" fontId="4" fillId="6" borderId="0" xfId="0" applyFont="1" applyFill="1" applyAlignment="1">
      <alignment horizontal="left" vertical="center" wrapText="1"/>
    </xf>
    <xf numFmtId="0" fontId="4" fillId="5"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91F1F"/>
      <rgbColor rgb="FF1A5C2A"/>
      <rgbColor rgb="FF000080"/>
      <rgbColor rgb="FF808000"/>
      <rgbColor rgb="FF800080"/>
      <rgbColor rgb="FF065F46"/>
      <rgbColor rgb="FFCCCCCC"/>
      <rgbColor rgb="FF808080"/>
      <rgbColor rgb="FF9999FF"/>
      <rgbColor rgb="FF993366"/>
      <rgbColor rgb="FFFFF2CC"/>
      <rgbColor rgb="FFF5F5F5"/>
      <rgbColor rgb="FF660066"/>
      <rgbColor rgb="FFFF8080"/>
      <rgbColor rgb="FF2E5FA3"/>
      <rgbColor rgb="FFD6E4F7"/>
      <rgbColor rgb="FF000080"/>
      <rgbColor rgb="FFFF00FF"/>
      <rgbColor rgb="FFFFFF00"/>
      <rgbColor rgb="FF00FFFF"/>
      <rgbColor rgb="FF800080"/>
      <rgbColor rgb="FF800000"/>
      <rgbColor rgb="FF008080"/>
      <rgbColor rgb="FF0000FF"/>
      <rgbColor rgb="FF00CCFF"/>
      <rgbColor rgb="FFCCFFFF"/>
      <rgbColor rgb="FFE2EFDA"/>
      <rgbColor rgb="FFFCE9D4"/>
      <rgbColor rgb="FF99CCFF"/>
      <rgbColor rgb="FFFF99CC"/>
      <rgbColor rgb="FFCC99FF"/>
      <rgbColor rgb="FFFCE4D6"/>
      <rgbColor rgb="FF3366FF"/>
      <rgbColor rgb="FF33CCCC"/>
      <rgbColor rgb="FF99CC00"/>
      <rgbColor rgb="FFFFCC00"/>
      <rgbColor rgb="FFFF9900"/>
      <rgbColor rgb="FFFF6600"/>
      <rgbColor rgb="FF666699"/>
      <rgbColor rgb="FFAAAAAA"/>
      <rgbColor rgb="FF003366"/>
      <rgbColor rgb="FF339966"/>
      <rgbColor rgb="FF003300"/>
      <rgbColor rgb="FF1A1A1A"/>
      <rgbColor rgb="FF7B2D00"/>
      <rgbColor rgb="FF993366"/>
      <rgbColor rgb="FF333399"/>
      <rgbColor rgb="FF1A2B4A"/>
      <rgbColor rgb="00003366"/>
      <rgbColor rgb="00339966"/>
      <rgbColor rgb="00003300"/>
      <rgbColor rgb="00333300"/>
      <rgbColor rgb="00993300"/>
      <rgbColor rgb="00993366"/>
      <rgbColor rgb="00333399"/>
      <rgbColor rgb="00333333"/>
    </indexedColors>
    <mruColors>
      <color rgb="FF2E5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zoomScaleNormal="100" workbookViewId="0">
      <selection activeCell="F13" sqref="F13"/>
    </sheetView>
  </sheetViews>
  <sheetFormatPr defaultColWidth="8.7109375" defaultRowHeight="15" x14ac:dyDescent="0.25"/>
  <cols>
    <col min="1" max="1" width="9" customWidth="1"/>
    <col min="2" max="2" width="20" customWidth="1"/>
    <col min="3" max="4" width="26" customWidth="1"/>
    <col min="5" max="6" width="20" customWidth="1"/>
    <col min="7" max="7" width="22" customWidth="1"/>
    <col min="8" max="8" width="32" customWidth="1"/>
    <col min="9" max="9" width="8" customWidth="1"/>
    <col min="10" max="10" width="16" customWidth="1"/>
    <col min="11" max="11" width="27.7109375" bestFit="1" customWidth="1"/>
    <col min="12" max="12" width="9.5703125" customWidth="1"/>
  </cols>
  <sheetData>
    <row r="1" spans="1:11" ht="25.5" customHeight="1" x14ac:dyDescent="0.25">
      <c r="A1" s="19" t="s">
        <v>0</v>
      </c>
      <c r="B1" s="19"/>
      <c r="C1" s="19"/>
      <c r="D1" s="19"/>
      <c r="E1" s="19"/>
      <c r="F1" s="19"/>
      <c r="G1" s="19"/>
      <c r="H1" s="19"/>
      <c r="I1" s="19"/>
      <c r="J1" s="19"/>
    </row>
    <row r="2" spans="1:11" ht="25.5" customHeight="1" x14ac:dyDescent="0.25">
      <c r="A2" s="24" t="s">
        <v>1</v>
      </c>
      <c r="B2" s="24"/>
      <c r="C2" s="24"/>
      <c r="D2" s="24"/>
      <c r="E2" s="24"/>
      <c r="F2" s="24"/>
      <c r="G2" s="24"/>
      <c r="H2" s="24"/>
      <c r="I2" s="24"/>
      <c r="J2" s="24"/>
    </row>
    <row r="3" spans="1:11" ht="24" customHeight="1" x14ac:dyDescent="0.25">
      <c r="A3" s="1"/>
      <c r="B3" s="1" t="s">
        <v>307</v>
      </c>
      <c r="C3" s="1" t="s">
        <v>308</v>
      </c>
      <c r="D3" s="1" t="s">
        <v>224</v>
      </c>
      <c r="E3" s="1" t="s">
        <v>229</v>
      </c>
      <c r="F3" s="1" t="s">
        <v>239</v>
      </c>
      <c r="G3" s="1" t="s">
        <v>238</v>
      </c>
      <c r="H3" s="1" t="s">
        <v>3</v>
      </c>
      <c r="I3" s="1" t="s">
        <v>4</v>
      </c>
      <c r="J3" s="1" t="s">
        <v>306</v>
      </c>
    </row>
    <row r="4" spans="1:11" ht="15.75" customHeight="1" x14ac:dyDescent="0.25">
      <c r="A4" s="2" t="s">
        <v>5</v>
      </c>
      <c r="B4" s="3" t="s">
        <v>199</v>
      </c>
      <c r="C4" s="3" t="s">
        <v>13</v>
      </c>
      <c r="D4" s="2" t="s">
        <v>225</v>
      </c>
      <c r="E4" s="2" t="s">
        <v>230</v>
      </c>
      <c r="F4" s="2" t="s">
        <v>240</v>
      </c>
      <c r="G4" s="2" t="s">
        <v>256</v>
      </c>
      <c r="H4" s="3" t="s">
        <v>290</v>
      </c>
      <c r="I4" s="2">
        <v>5</v>
      </c>
      <c r="J4" s="2" t="s">
        <v>272</v>
      </c>
      <c r="K4" s="17"/>
    </row>
    <row r="5" spans="1:11" ht="15.75" customHeight="1" x14ac:dyDescent="0.25">
      <c r="A5" s="4" t="s">
        <v>6</v>
      </c>
      <c r="B5" s="5" t="s">
        <v>7</v>
      </c>
      <c r="C5" s="5" t="s">
        <v>214</v>
      </c>
      <c r="D5" s="2" t="s">
        <v>226</v>
      </c>
      <c r="E5" s="4" t="s">
        <v>231</v>
      </c>
      <c r="F5" s="2" t="s">
        <v>241</v>
      </c>
      <c r="G5" s="2" t="s">
        <v>257</v>
      </c>
      <c r="H5" s="5" t="s">
        <v>291</v>
      </c>
      <c r="I5" s="4" t="s">
        <v>8</v>
      </c>
      <c r="J5" s="4" t="s">
        <v>273</v>
      </c>
      <c r="K5" s="17"/>
    </row>
    <row r="6" spans="1:11" ht="15.75" customHeight="1" x14ac:dyDescent="0.25">
      <c r="A6" s="2" t="s">
        <v>9</v>
      </c>
      <c r="B6" s="3" t="s">
        <v>200</v>
      </c>
      <c r="C6" s="3" t="s">
        <v>34</v>
      </c>
      <c r="D6" s="2" t="s">
        <v>227</v>
      </c>
      <c r="E6" s="2" t="s">
        <v>232</v>
      </c>
      <c r="F6" s="2" t="s">
        <v>242</v>
      </c>
      <c r="G6" s="2" t="s">
        <v>258</v>
      </c>
      <c r="H6" s="3" t="s">
        <v>292</v>
      </c>
      <c r="I6" s="2" t="s">
        <v>10</v>
      </c>
      <c r="J6" s="2" t="s">
        <v>274</v>
      </c>
      <c r="K6" s="17"/>
    </row>
    <row r="7" spans="1:11" ht="15.75" customHeight="1" x14ac:dyDescent="0.25">
      <c r="A7" s="4" t="s">
        <v>11</v>
      </c>
      <c r="B7" s="5" t="s">
        <v>201</v>
      </c>
      <c r="C7" s="5" t="s">
        <v>215</v>
      </c>
      <c r="D7" s="2" t="s">
        <v>228</v>
      </c>
      <c r="E7" s="4" t="s">
        <v>233</v>
      </c>
      <c r="F7" s="2" t="s">
        <v>243</v>
      </c>
      <c r="G7" s="2" t="s">
        <v>259</v>
      </c>
      <c r="H7" s="5" t="s">
        <v>293</v>
      </c>
      <c r="I7" s="4" t="s">
        <v>8</v>
      </c>
      <c r="J7" s="4" t="s">
        <v>275</v>
      </c>
      <c r="K7" s="17"/>
    </row>
    <row r="8" spans="1:11" ht="15.75" customHeight="1" x14ac:dyDescent="0.25">
      <c r="A8" s="2" t="s">
        <v>12</v>
      </c>
      <c r="B8" s="5" t="s">
        <v>202</v>
      </c>
      <c r="C8" s="5" t="s">
        <v>216</v>
      </c>
      <c r="D8" s="2" t="s">
        <v>225</v>
      </c>
      <c r="E8" s="4" t="s">
        <v>234</v>
      </c>
      <c r="F8" s="2" t="s">
        <v>244</v>
      </c>
      <c r="G8" s="2" t="s">
        <v>260</v>
      </c>
      <c r="H8" s="5" t="s">
        <v>294</v>
      </c>
      <c r="I8" s="4" t="s">
        <v>15</v>
      </c>
      <c r="J8" s="4" t="s">
        <v>276</v>
      </c>
      <c r="K8" s="17"/>
    </row>
    <row r="9" spans="1:11" ht="15.75" customHeight="1" x14ac:dyDescent="0.25">
      <c r="A9" s="4" t="s">
        <v>14</v>
      </c>
      <c r="B9" s="3" t="s">
        <v>203</v>
      </c>
      <c r="C9" s="3" t="s">
        <v>17</v>
      </c>
      <c r="D9" s="2" t="s">
        <v>226</v>
      </c>
      <c r="E9" s="18" t="s">
        <v>237</v>
      </c>
      <c r="F9" s="2" t="s">
        <v>245</v>
      </c>
      <c r="G9" s="2" t="s">
        <v>261</v>
      </c>
      <c r="H9" s="3" t="s">
        <v>295</v>
      </c>
      <c r="I9" s="2" t="s">
        <v>18</v>
      </c>
      <c r="J9" s="2" t="s">
        <v>277</v>
      </c>
      <c r="K9" s="17"/>
    </row>
    <row r="10" spans="1:11" ht="15.75" customHeight="1" x14ac:dyDescent="0.25">
      <c r="A10" s="2" t="s">
        <v>16</v>
      </c>
      <c r="B10" s="5" t="s">
        <v>20</v>
      </c>
      <c r="C10" s="5" t="s">
        <v>217</v>
      </c>
      <c r="D10" s="4" t="s">
        <v>227</v>
      </c>
      <c r="E10" s="4" t="s">
        <v>232</v>
      </c>
      <c r="F10" s="2" t="s">
        <v>246</v>
      </c>
      <c r="G10" s="2" t="s">
        <v>262</v>
      </c>
      <c r="H10" s="5" t="s">
        <v>296</v>
      </c>
      <c r="I10" s="4" t="s">
        <v>8</v>
      </c>
      <c r="J10" s="4" t="s">
        <v>278</v>
      </c>
      <c r="K10" s="17"/>
    </row>
    <row r="11" spans="1:11" ht="15.75" customHeight="1" x14ac:dyDescent="0.25">
      <c r="A11" s="4" t="s">
        <v>19</v>
      </c>
      <c r="B11" s="3" t="s">
        <v>22</v>
      </c>
      <c r="C11" s="3" t="s">
        <v>23</v>
      </c>
      <c r="D11" s="4" t="s">
        <v>227</v>
      </c>
      <c r="E11" s="2" t="s">
        <v>235</v>
      </c>
      <c r="F11" s="2" t="s">
        <v>247</v>
      </c>
      <c r="G11" s="2" t="s">
        <v>263</v>
      </c>
      <c r="H11" s="3" t="s">
        <v>297</v>
      </c>
      <c r="I11" s="2" t="s">
        <v>8</v>
      </c>
      <c r="J11" s="2" t="s">
        <v>279</v>
      </c>
      <c r="K11" s="17"/>
    </row>
    <row r="12" spans="1:11" ht="15.75" customHeight="1" x14ac:dyDescent="0.25">
      <c r="A12" s="2" t="s">
        <v>21</v>
      </c>
      <c r="B12" s="5" t="s">
        <v>25</v>
      </c>
      <c r="C12" s="5" t="s">
        <v>218</v>
      </c>
      <c r="D12" s="4" t="s">
        <v>228</v>
      </c>
      <c r="E12" s="4" t="s">
        <v>233</v>
      </c>
      <c r="F12" s="2" t="s">
        <v>248</v>
      </c>
      <c r="G12" s="2" t="s">
        <v>264</v>
      </c>
      <c r="H12" s="5" t="s">
        <v>298</v>
      </c>
      <c r="I12" s="4" t="s">
        <v>26</v>
      </c>
      <c r="J12" s="4" t="s">
        <v>280</v>
      </c>
      <c r="K12" s="17"/>
    </row>
    <row r="13" spans="1:11" ht="15.75" customHeight="1" x14ac:dyDescent="0.25">
      <c r="A13" s="4" t="s">
        <v>24</v>
      </c>
      <c r="B13" s="3" t="s">
        <v>204</v>
      </c>
      <c r="C13" s="3" t="s">
        <v>28</v>
      </c>
      <c r="D13" s="4" t="s">
        <v>228</v>
      </c>
      <c r="E13" s="2" t="s">
        <v>236</v>
      </c>
      <c r="F13" s="2" t="s">
        <v>240</v>
      </c>
      <c r="G13" s="2" t="s">
        <v>256</v>
      </c>
      <c r="H13" s="3" t="s">
        <v>290</v>
      </c>
      <c r="I13" s="2" t="s">
        <v>8</v>
      </c>
      <c r="J13" s="2" t="s">
        <v>281</v>
      </c>
      <c r="K13" s="17"/>
    </row>
    <row r="14" spans="1:11" ht="15.75" customHeight="1" x14ac:dyDescent="0.25">
      <c r="A14" s="2" t="s">
        <v>27</v>
      </c>
      <c r="B14" s="5" t="s">
        <v>205</v>
      </c>
      <c r="C14" s="5" t="s">
        <v>219</v>
      </c>
      <c r="D14" s="4" t="s">
        <v>225</v>
      </c>
      <c r="E14" s="4" t="s">
        <v>230</v>
      </c>
      <c r="F14" s="2" t="s">
        <v>249</v>
      </c>
      <c r="G14" s="2" t="s">
        <v>265</v>
      </c>
      <c r="H14" s="5" t="s">
        <v>299</v>
      </c>
      <c r="I14" s="4" t="s">
        <v>26</v>
      </c>
      <c r="J14" s="4" t="s">
        <v>282</v>
      </c>
      <c r="K14" s="17"/>
    </row>
    <row r="15" spans="1:11" ht="15.75" customHeight="1" x14ac:dyDescent="0.25">
      <c r="A15" s="4" t="s">
        <v>29</v>
      </c>
      <c r="B15" s="3" t="s">
        <v>31</v>
      </c>
      <c r="C15" s="3" t="s">
        <v>32</v>
      </c>
      <c r="D15" s="4" t="s">
        <v>226</v>
      </c>
      <c r="E15" s="18" t="s">
        <v>237</v>
      </c>
      <c r="F15" s="2" t="s">
        <v>250</v>
      </c>
      <c r="G15" s="2" t="s">
        <v>266</v>
      </c>
      <c r="H15" s="3" t="s">
        <v>300</v>
      </c>
      <c r="I15" s="2" t="s">
        <v>8</v>
      </c>
      <c r="J15" s="2" t="s">
        <v>283</v>
      </c>
      <c r="K15" s="17"/>
    </row>
    <row r="16" spans="1:11" ht="15.75" customHeight="1" x14ac:dyDescent="0.25">
      <c r="A16" s="2" t="s">
        <v>30</v>
      </c>
      <c r="B16" s="3" t="s">
        <v>36</v>
      </c>
      <c r="C16" s="3" t="s">
        <v>220</v>
      </c>
      <c r="D16" s="2" t="s">
        <v>226</v>
      </c>
      <c r="E16" s="2" t="s">
        <v>231</v>
      </c>
      <c r="F16" s="2" t="s">
        <v>251</v>
      </c>
      <c r="G16" s="2" t="s">
        <v>267</v>
      </c>
      <c r="H16" s="3" t="s">
        <v>301</v>
      </c>
      <c r="I16" s="2" t="s">
        <v>8</v>
      </c>
      <c r="J16" s="2" t="s">
        <v>284</v>
      </c>
      <c r="K16" s="17"/>
    </row>
    <row r="17" spans="1:11" ht="15.75" customHeight="1" x14ac:dyDescent="0.25">
      <c r="A17" s="4" t="s">
        <v>33</v>
      </c>
      <c r="B17" s="5" t="s">
        <v>206</v>
      </c>
      <c r="C17" s="5" t="s">
        <v>38</v>
      </c>
      <c r="D17" s="2" t="s">
        <v>225</v>
      </c>
      <c r="E17" s="4" t="s">
        <v>234</v>
      </c>
      <c r="F17" s="2" t="s">
        <v>252</v>
      </c>
      <c r="G17" s="2" t="s">
        <v>268</v>
      </c>
      <c r="H17" s="5" t="s">
        <v>302</v>
      </c>
      <c r="I17" s="4" t="s">
        <v>18</v>
      </c>
      <c r="J17" s="4" t="s">
        <v>285</v>
      </c>
      <c r="K17" s="17"/>
    </row>
    <row r="18" spans="1:11" ht="15.75" customHeight="1" x14ac:dyDescent="0.25">
      <c r="A18" s="2" t="s">
        <v>35</v>
      </c>
      <c r="B18" s="3" t="s">
        <v>40</v>
      </c>
      <c r="C18" s="3" t="s">
        <v>221</v>
      </c>
      <c r="D18" s="2" t="s">
        <v>227</v>
      </c>
      <c r="E18" s="2" t="s">
        <v>235</v>
      </c>
      <c r="F18" s="2" t="s">
        <v>253</v>
      </c>
      <c r="G18" s="2" t="s">
        <v>269</v>
      </c>
      <c r="H18" s="3" t="s">
        <v>303</v>
      </c>
      <c r="I18" s="2" t="s">
        <v>8</v>
      </c>
      <c r="J18" s="2" t="s">
        <v>286</v>
      </c>
      <c r="K18" s="17"/>
    </row>
    <row r="19" spans="1:11" ht="15.75" customHeight="1" x14ac:dyDescent="0.25">
      <c r="A19" s="4" t="s">
        <v>37</v>
      </c>
      <c r="B19" s="5" t="s">
        <v>42</v>
      </c>
      <c r="C19" s="5" t="s">
        <v>222</v>
      </c>
      <c r="D19" s="2" t="s">
        <v>228</v>
      </c>
      <c r="E19" s="4" t="s">
        <v>233</v>
      </c>
      <c r="F19" s="2" t="s">
        <v>240</v>
      </c>
      <c r="G19" s="2" t="s">
        <v>256</v>
      </c>
      <c r="H19" s="5" t="s">
        <v>290</v>
      </c>
      <c r="I19" s="4" t="s">
        <v>8</v>
      </c>
      <c r="J19" s="4" t="s">
        <v>287</v>
      </c>
      <c r="K19" s="17"/>
    </row>
    <row r="20" spans="1:11" ht="15.75" customHeight="1" x14ac:dyDescent="0.25">
      <c r="A20" s="2" t="s">
        <v>39</v>
      </c>
      <c r="B20" s="3" t="s">
        <v>207</v>
      </c>
      <c r="C20" s="3" t="s">
        <v>43</v>
      </c>
      <c r="D20" s="2" t="s">
        <v>225</v>
      </c>
      <c r="E20" s="2" t="s">
        <v>230</v>
      </c>
      <c r="F20" s="2" t="s">
        <v>254</v>
      </c>
      <c r="G20" s="2" t="s">
        <v>270</v>
      </c>
      <c r="H20" s="3" t="s">
        <v>304</v>
      </c>
      <c r="I20" s="2" t="s">
        <v>10</v>
      </c>
      <c r="J20" s="2" t="s">
        <v>288</v>
      </c>
      <c r="K20" s="17"/>
    </row>
    <row r="21" spans="1:11" ht="15.75" customHeight="1" x14ac:dyDescent="0.25">
      <c r="A21" s="4" t="s">
        <v>41</v>
      </c>
      <c r="B21" s="5" t="s">
        <v>44</v>
      </c>
      <c r="C21" s="5" t="s">
        <v>223</v>
      </c>
      <c r="D21" s="2" t="s">
        <v>226</v>
      </c>
      <c r="E21" s="4" t="s">
        <v>237</v>
      </c>
      <c r="F21" s="2" t="s">
        <v>255</v>
      </c>
      <c r="G21" s="2" t="s">
        <v>271</v>
      </c>
      <c r="H21" s="5" t="s">
        <v>305</v>
      </c>
      <c r="I21" s="4" t="s">
        <v>8</v>
      </c>
      <c r="J21" s="4" t="s">
        <v>289</v>
      </c>
      <c r="K21" s="17"/>
    </row>
    <row r="22" spans="1:11" ht="15.75" customHeight="1" x14ac:dyDescent="0.25">
      <c r="A22" s="4"/>
      <c r="K22" s="17"/>
    </row>
    <row r="23" spans="1:11" ht="15.75" customHeight="1" x14ac:dyDescent="0.25">
      <c r="A23" s="4"/>
      <c r="D23" s="17"/>
      <c r="K23" s="17"/>
    </row>
    <row r="24" spans="1:11" x14ac:dyDescent="0.25">
      <c r="D24" s="17"/>
    </row>
    <row r="25" spans="1:11" x14ac:dyDescent="0.25">
      <c r="D25" s="17"/>
    </row>
    <row r="26" spans="1:11" x14ac:dyDescent="0.25">
      <c r="D26" s="17"/>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
  <sheetViews>
    <sheetView topLeftCell="A9" zoomScale="172" zoomScaleNormal="172" workbookViewId="0">
      <selection activeCell="A13" sqref="A13"/>
    </sheetView>
  </sheetViews>
  <sheetFormatPr defaultColWidth="8.7109375" defaultRowHeight="15" x14ac:dyDescent="0.25"/>
  <cols>
    <col min="1" max="1" width="16" customWidth="1"/>
    <col min="2" max="2" width="34" customWidth="1"/>
    <col min="3" max="3" width="32" customWidth="1"/>
    <col min="4" max="4" width="22" customWidth="1"/>
  </cols>
  <sheetData>
    <row r="1" spans="1:5" ht="25.5" customHeight="1" x14ac:dyDescent="0.25">
      <c r="A1" s="19" t="s">
        <v>45</v>
      </c>
      <c r="B1" s="19"/>
      <c r="C1" s="19"/>
      <c r="D1" s="19"/>
      <c r="E1" s="19"/>
    </row>
    <row r="2" spans="1:5" ht="25.5" customHeight="1" x14ac:dyDescent="0.25">
      <c r="A2" s="20" t="s">
        <v>46</v>
      </c>
      <c r="B2" s="20"/>
      <c r="C2" s="20"/>
      <c r="D2" s="20"/>
      <c r="E2" s="20"/>
    </row>
    <row r="4" spans="1:5" ht="19.5" customHeight="1" x14ac:dyDescent="0.25">
      <c r="A4" s="22" t="s">
        <v>47</v>
      </c>
      <c r="B4" s="22"/>
      <c r="C4" s="22"/>
      <c r="D4" s="22"/>
      <c r="E4" s="22"/>
    </row>
    <row r="5" spans="1:5" ht="18" customHeight="1" x14ac:dyDescent="0.25">
      <c r="A5" s="6" t="s">
        <v>48</v>
      </c>
      <c r="B5" s="6" t="s">
        <v>49</v>
      </c>
      <c r="C5" s="6" t="s">
        <v>50</v>
      </c>
      <c r="D5" s="6" t="s">
        <v>51</v>
      </c>
    </row>
    <row r="6" spans="1:5" ht="33.75" customHeight="1" x14ac:dyDescent="0.25">
      <c r="A6" s="7" t="s">
        <v>52</v>
      </c>
      <c r="B6" s="5" t="s">
        <v>53</v>
      </c>
      <c r="C6" s="8" t="s">
        <v>54</v>
      </c>
      <c r="D6" s="9" t="s">
        <v>55</v>
      </c>
    </row>
    <row r="7" spans="1:5" ht="33.75" customHeight="1" x14ac:dyDescent="0.25">
      <c r="A7" s="7" t="s">
        <v>56</v>
      </c>
      <c r="B7" s="5" t="s">
        <v>57</v>
      </c>
      <c r="C7" s="8" t="s">
        <v>58</v>
      </c>
      <c r="D7" s="9" t="s">
        <v>59</v>
      </c>
    </row>
    <row r="8" spans="1:5" ht="33.75" customHeight="1" x14ac:dyDescent="0.25">
      <c r="A8" s="7" t="s">
        <v>60</v>
      </c>
      <c r="B8" s="5" t="s">
        <v>61</v>
      </c>
      <c r="C8" s="8" t="s">
        <v>62</v>
      </c>
      <c r="D8" s="9" t="s">
        <v>63</v>
      </c>
    </row>
    <row r="9" spans="1:5" ht="33.75" customHeight="1" x14ac:dyDescent="0.25">
      <c r="A9" s="7" t="s">
        <v>64</v>
      </c>
      <c r="B9" s="5" t="s">
        <v>65</v>
      </c>
      <c r="C9" s="8" t="s">
        <v>66</v>
      </c>
      <c r="D9" s="9" t="s">
        <v>67</v>
      </c>
    </row>
    <row r="10" spans="1:5" ht="33.75" customHeight="1" x14ac:dyDescent="0.25">
      <c r="A10" s="7" t="s">
        <v>68</v>
      </c>
      <c r="B10" s="5" t="s">
        <v>69</v>
      </c>
      <c r="C10" s="8" t="s">
        <v>70</v>
      </c>
      <c r="D10" s="9" t="s">
        <v>71</v>
      </c>
    </row>
    <row r="11" spans="1:5" ht="33.75" customHeight="1" x14ac:dyDescent="0.25">
      <c r="A11" s="7" t="s">
        <v>72</v>
      </c>
      <c r="B11" s="5" t="s">
        <v>73</v>
      </c>
      <c r="C11" s="8" t="s">
        <v>74</v>
      </c>
      <c r="D11" s="9" t="s">
        <v>75</v>
      </c>
    </row>
    <row r="12" spans="1:5" ht="33.75" customHeight="1" x14ac:dyDescent="0.25">
      <c r="A12" s="7" t="s">
        <v>76</v>
      </c>
      <c r="B12" s="5" t="s">
        <v>77</v>
      </c>
      <c r="C12" s="8" t="s">
        <v>78</v>
      </c>
      <c r="D12" s="9" t="s">
        <v>79</v>
      </c>
    </row>
    <row r="13" spans="1:5" ht="33.75" customHeight="1" x14ac:dyDescent="0.25">
      <c r="A13" s="7" t="s">
        <v>80</v>
      </c>
      <c r="B13" s="5" t="s">
        <v>81</v>
      </c>
      <c r="C13" s="8" t="s">
        <v>82</v>
      </c>
      <c r="D13" s="9" t="s">
        <v>83</v>
      </c>
    </row>
    <row r="14" spans="1:5" ht="33.75" customHeight="1" x14ac:dyDescent="0.25">
      <c r="A14" s="7" t="s">
        <v>84</v>
      </c>
      <c r="B14" s="5" t="s">
        <v>85</v>
      </c>
      <c r="C14" s="8" t="s">
        <v>86</v>
      </c>
      <c r="D14" s="9" t="s">
        <v>87</v>
      </c>
    </row>
    <row r="15" spans="1:5" ht="33.75" customHeight="1" x14ac:dyDescent="0.25">
      <c r="A15" s="7" t="s">
        <v>88</v>
      </c>
      <c r="B15" s="5" t="s">
        <v>89</v>
      </c>
      <c r="C15" s="8" t="s">
        <v>90</v>
      </c>
      <c r="D15" s="9" t="s">
        <v>91</v>
      </c>
    </row>
    <row r="16" spans="1:5" ht="33.75" customHeight="1" x14ac:dyDescent="0.25">
      <c r="A16" s="7" t="s">
        <v>92</v>
      </c>
      <c r="B16" s="5" t="s">
        <v>93</v>
      </c>
      <c r="C16" s="8" t="s">
        <v>94</v>
      </c>
      <c r="D16" s="9" t="s">
        <v>95</v>
      </c>
    </row>
  </sheetData>
  <mergeCells count="3">
    <mergeCell ref="A1:E1"/>
    <mergeCell ref="A2:E2"/>
    <mergeCell ref="A4:E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6"/>
  <sheetViews>
    <sheetView topLeftCell="A24" zoomScaleNormal="100" workbookViewId="0">
      <selection activeCell="D47" sqref="D47"/>
    </sheetView>
  </sheetViews>
  <sheetFormatPr defaultColWidth="8.7109375" defaultRowHeight="15" x14ac:dyDescent="0.25"/>
  <cols>
    <col min="1" max="1" width="9" customWidth="1"/>
    <col min="2" max="2" width="24" customWidth="1"/>
    <col min="3" max="4" width="34" customWidth="1"/>
    <col min="5" max="7" width="14" customWidth="1"/>
  </cols>
  <sheetData>
    <row r="1" spans="1:7" ht="25.5" customHeight="1" x14ac:dyDescent="0.25">
      <c r="A1" s="19" t="s">
        <v>96</v>
      </c>
      <c r="B1" s="19"/>
      <c r="C1" s="19"/>
      <c r="D1" s="19"/>
      <c r="E1" s="19"/>
      <c r="F1" s="19"/>
      <c r="G1" s="19"/>
    </row>
    <row r="2" spans="1:7" ht="25.5" customHeight="1" x14ac:dyDescent="0.25">
      <c r="A2" s="20" t="s">
        <v>97</v>
      </c>
      <c r="B2" s="20"/>
      <c r="C2" s="20"/>
      <c r="D2" s="20"/>
      <c r="E2" s="20"/>
      <c r="F2" s="20"/>
      <c r="G2" s="20"/>
    </row>
    <row r="4" spans="1:7" ht="19.5" customHeight="1" x14ac:dyDescent="0.25">
      <c r="A4" s="22" t="s">
        <v>98</v>
      </c>
      <c r="B4" s="22"/>
      <c r="C4" s="22"/>
      <c r="D4" s="22"/>
      <c r="E4" s="22"/>
      <c r="F4" s="22"/>
      <c r="G4" s="22"/>
    </row>
    <row r="5" spans="1:7" ht="25.5" customHeight="1" x14ac:dyDescent="0.25">
      <c r="A5" s="24" t="s">
        <v>99</v>
      </c>
      <c r="B5" s="24"/>
      <c r="C5" s="24"/>
      <c r="D5" s="24"/>
      <c r="E5" s="24"/>
      <c r="F5" s="24"/>
      <c r="G5" s="24"/>
    </row>
    <row r="6" spans="1:7" ht="18" customHeight="1" x14ac:dyDescent="0.25">
      <c r="A6" s="6" t="s">
        <v>2</v>
      </c>
      <c r="B6" s="6" t="s">
        <v>100</v>
      </c>
      <c r="C6" s="6" t="s">
        <v>101</v>
      </c>
      <c r="D6" s="6" t="s">
        <v>102</v>
      </c>
    </row>
    <row r="7" spans="1:7" ht="15.75" customHeight="1" x14ac:dyDescent="0.25">
      <c r="A7" s="4" t="str">
        <f>'Raw Customer Data'!A4</f>
        <v>FB-001</v>
      </c>
      <c r="B7" s="5" t="str">
        <f>'Raw Customer Data'!B4</f>
        <v>James Wilson</v>
      </c>
      <c r="C7" s="10" t="s">
        <v>164</v>
      </c>
      <c r="D7" s="11" t="str">
        <f>PROPER(TRIM('Raw Customer Data'!B4))</f>
        <v>James Wilson</v>
      </c>
    </row>
    <row r="8" spans="1:7" ht="15.75" customHeight="1" x14ac:dyDescent="0.25">
      <c r="A8" s="4" t="str">
        <f>'Raw Customer Data'!A5</f>
        <v>FB-002</v>
      </c>
      <c r="B8" s="5" t="str">
        <f>'Raw Customer Data'!B5</f>
        <v>Sarah Connor</v>
      </c>
      <c r="C8" s="10" t="s">
        <v>165</v>
      </c>
      <c r="D8" s="11" t="str">
        <f>PROPER(TRIM('Raw Customer Data'!B5))</f>
        <v>Sarah Connor</v>
      </c>
    </row>
    <row r="9" spans="1:7" ht="15.75" customHeight="1" x14ac:dyDescent="0.25">
      <c r="A9" s="4" t="str">
        <f>'Raw Customer Data'!A6</f>
        <v>FB-003</v>
      </c>
      <c r="B9" s="5" t="str">
        <f>'Raw Customer Data'!B6</f>
        <v>Mike Johnson</v>
      </c>
      <c r="C9" s="10" t="s">
        <v>166</v>
      </c>
      <c r="D9" s="11" t="str">
        <f>PROPER(TRIM('Raw Customer Data'!B6))</f>
        <v>Mike Johnson</v>
      </c>
    </row>
    <row r="10" spans="1:7" ht="15.75" customHeight="1" x14ac:dyDescent="0.25">
      <c r="A10" s="4" t="str">
        <f>'Raw Customer Data'!A7</f>
        <v>FB-004</v>
      </c>
      <c r="B10" s="5" t="str">
        <f>'Raw Customer Data'!B7</f>
        <v>Emily Davis</v>
      </c>
      <c r="C10" s="10" t="s">
        <v>167</v>
      </c>
      <c r="D10" s="11" t="str">
        <f>PROPER(TRIM('Raw Customer Data'!B7))</f>
        <v>Emily Davis</v>
      </c>
    </row>
    <row r="11" spans="1:7" ht="15.75" customHeight="1" x14ac:dyDescent="0.25">
      <c r="A11" s="4" t="str">
        <f>'Raw Customer Data'!A8</f>
        <v>FB-005</v>
      </c>
      <c r="B11" s="5" t="str">
        <f>'Raw Customer Data'!B8</f>
        <v>Robert Brown</v>
      </c>
      <c r="C11" s="10" t="s">
        <v>168</v>
      </c>
      <c r="D11" s="11" t="str">
        <f>PROPER(TRIM('Raw Customer Data'!B8))</f>
        <v>Robert Brown</v>
      </c>
    </row>
    <row r="13" spans="1:7" ht="19.5" customHeight="1" x14ac:dyDescent="0.25">
      <c r="A13" s="22" t="s">
        <v>103</v>
      </c>
      <c r="B13" s="22"/>
      <c r="C13" s="22"/>
      <c r="D13" s="22"/>
      <c r="E13" s="22"/>
      <c r="F13" s="22"/>
      <c r="G13" s="22"/>
    </row>
    <row r="14" spans="1:7" ht="18" customHeight="1" x14ac:dyDescent="0.25">
      <c r="A14" s="6" t="s">
        <v>2</v>
      </c>
      <c r="B14" s="6" t="s">
        <v>104</v>
      </c>
      <c r="C14" s="6" t="s">
        <v>101</v>
      </c>
      <c r="D14" s="6" t="s">
        <v>102</v>
      </c>
    </row>
    <row r="15" spans="1:7" x14ac:dyDescent="0.25">
      <c r="A15" s="4" t="str">
        <f>'Raw Customer Data'!A4</f>
        <v>FB-001</v>
      </c>
      <c r="B15" s="5" t="str">
        <f>'Raw Customer Data'!C4</f>
        <v>james.wilson@email.com</v>
      </c>
      <c r="C15" s="10" t="s">
        <v>169</v>
      </c>
      <c r="D15" s="11" t="str">
        <f>TRIM(LOWER('Raw Customer Data'!C4))</f>
        <v>james.wilson@email.com</v>
      </c>
    </row>
    <row r="16" spans="1:7" ht="15.75" customHeight="1" x14ac:dyDescent="0.25">
      <c r="A16" s="4" t="str">
        <f>'Raw Customer Data'!A5</f>
        <v>FB-002</v>
      </c>
      <c r="B16" s="5" t="str">
        <f>'Raw Customer Data'!C5</f>
        <v>sarah.connor@email.com</v>
      </c>
      <c r="C16" s="10" t="s">
        <v>170</v>
      </c>
      <c r="D16" s="11" t="str">
        <f>LOWER(TRIM('Raw Customer Data'!C5))</f>
        <v>sarah.connor@email.com</v>
      </c>
    </row>
    <row r="17" spans="1:7" ht="15.75" customHeight="1" x14ac:dyDescent="0.25">
      <c r="A17" s="4" t="str">
        <f>'Raw Customer Data'!A6</f>
        <v>FB-003</v>
      </c>
      <c r="B17" s="5" t="str">
        <f>'Raw Customer Data'!C6</f>
        <v>mike.johnson@email.com</v>
      </c>
      <c r="C17" s="10" t="s">
        <v>171</v>
      </c>
      <c r="D17" s="11" t="str">
        <f>TRIM(LOWER('Raw Customer Data'!C6))</f>
        <v>mike.johnson@email.com</v>
      </c>
    </row>
    <row r="18" spans="1:7" ht="15.75" customHeight="1" x14ac:dyDescent="0.25">
      <c r="A18" s="4" t="str">
        <f>'Raw Customer Data'!A7</f>
        <v>FB-004</v>
      </c>
      <c r="B18" s="5" t="str">
        <f>'Raw Customer Data'!C7</f>
        <v>emily.davis@email.com</v>
      </c>
      <c r="C18" s="10" t="s">
        <v>172</v>
      </c>
      <c r="D18" s="11" t="str">
        <f>LOWER(TRIM('Raw Customer Data'!C7))</f>
        <v>emily.davis@email.com</v>
      </c>
    </row>
    <row r="19" spans="1:7" ht="15.75" customHeight="1" x14ac:dyDescent="0.25">
      <c r="A19" s="4" t="str">
        <f>'Raw Customer Data'!A8</f>
        <v>FB-005</v>
      </c>
      <c r="B19" s="5" t="str">
        <f>'Raw Customer Data'!C8</f>
        <v>robert.brown@email.com</v>
      </c>
      <c r="C19" s="10" t="s">
        <v>173</v>
      </c>
      <c r="D19" s="11" t="str">
        <f>TRIM(LOWER('Raw Customer Data'!C8))</f>
        <v>robert.brown@email.com</v>
      </c>
    </row>
    <row r="20" spans="1:7" x14ac:dyDescent="0.25">
      <c r="D20" s="11" t="str">
        <f>TRIM(LOWER('Raw Customer Data'!C9))</f>
        <v>lisa.martinez@email.com</v>
      </c>
    </row>
    <row r="21" spans="1:7" ht="19.5" customHeight="1" x14ac:dyDescent="0.25">
      <c r="A21" s="22" t="s">
        <v>105</v>
      </c>
      <c r="B21" s="22"/>
      <c r="C21" s="22"/>
      <c r="D21" s="22"/>
      <c r="E21" s="22"/>
      <c r="F21" s="22"/>
      <c r="G21" s="22"/>
    </row>
    <row r="22" spans="1:7" ht="25.5" customHeight="1" x14ac:dyDescent="0.25">
      <c r="A22" s="24" t="s">
        <v>106</v>
      </c>
      <c r="B22" s="24"/>
      <c r="C22" s="24"/>
      <c r="D22" s="24"/>
      <c r="E22" s="24"/>
      <c r="F22" s="24"/>
      <c r="G22" s="24"/>
    </row>
    <row r="23" spans="1:7" ht="18" customHeight="1" x14ac:dyDescent="0.25">
      <c r="A23" s="6" t="s">
        <v>2</v>
      </c>
      <c r="B23" s="6" t="s">
        <v>107</v>
      </c>
      <c r="C23" s="6" t="s">
        <v>108</v>
      </c>
      <c r="D23" s="6" t="s">
        <v>109</v>
      </c>
    </row>
    <row r="24" spans="1:7" ht="15.75" customHeight="1" x14ac:dyDescent="0.25">
      <c r="A24" s="4" t="str">
        <f>'Raw Customer Data'!A4</f>
        <v>FB-001</v>
      </c>
      <c r="B24" s="5" t="str">
        <f>'Raw Customer Data'!E4</f>
        <v>NYC01</v>
      </c>
      <c r="C24" s="10" t="s">
        <v>174</v>
      </c>
      <c r="D24" s="10" t="s">
        <v>179</v>
      </c>
    </row>
    <row r="25" spans="1:7" ht="15.75" customHeight="1" x14ac:dyDescent="0.25">
      <c r="A25" s="4" t="str">
        <f>'Raw Customer Data'!A5</f>
        <v>FB-002</v>
      </c>
      <c r="B25" s="5" t="str">
        <f>'Raw Customer Data'!E5</f>
        <v>LAX03</v>
      </c>
      <c r="C25" s="10" t="s">
        <v>175</v>
      </c>
      <c r="D25" s="10" t="s">
        <v>180</v>
      </c>
    </row>
    <row r="26" spans="1:7" ht="15.75" customHeight="1" x14ac:dyDescent="0.25">
      <c r="A26" s="4" t="str">
        <f>'Raw Customer Data'!A6</f>
        <v>FB-003</v>
      </c>
      <c r="B26" s="5" t="str">
        <f>'Raw Customer Data'!E6</f>
        <v>HI02</v>
      </c>
      <c r="C26" s="10" t="s">
        <v>176</v>
      </c>
      <c r="D26" s="10" t="s">
        <v>181</v>
      </c>
    </row>
    <row r="27" spans="1:7" ht="15.75" customHeight="1" x14ac:dyDescent="0.25">
      <c r="A27" s="4" t="str">
        <f>'Raw Customer Data'!A7</f>
        <v>FB-004</v>
      </c>
      <c r="B27" s="5" t="str">
        <f>'Raw Customer Data'!E7</f>
        <v>OU04</v>
      </c>
      <c r="C27" s="10" t="s">
        <v>177</v>
      </c>
      <c r="D27" s="10" t="s">
        <v>182</v>
      </c>
    </row>
    <row r="28" spans="1:7" ht="15.75" customHeight="1" x14ac:dyDescent="0.25">
      <c r="A28" s="4" t="str">
        <f>'Raw Customer Data'!A8</f>
        <v>FB-005</v>
      </c>
      <c r="B28" s="5" t="str">
        <f>'Raw Customer Data'!E8</f>
        <v>NYC02</v>
      </c>
      <c r="C28" s="10" t="s">
        <v>178</v>
      </c>
      <c r="D28" s="10" t="s">
        <v>183</v>
      </c>
    </row>
    <row r="30" spans="1:7" ht="19.5" customHeight="1" x14ac:dyDescent="0.25">
      <c r="A30" s="22" t="s">
        <v>110</v>
      </c>
      <c r="B30" s="22"/>
      <c r="C30" s="22"/>
      <c r="D30" s="22"/>
      <c r="E30" s="22"/>
      <c r="F30" s="22"/>
      <c r="G30" s="22"/>
    </row>
    <row r="31" spans="1:7" ht="25.5" customHeight="1" x14ac:dyDescent="0.25">
      <c r="A31" s="24" t="s">
        <v>111</v>
      </c>
      <c r="B31" s="24"/>
      <c r="C31" s="24"/>
      <c r="D31" s="24"/>
      <c r="E31" s="24"/>
      <c r="F31" s="24"/>
      <c r="G31" s="24"/>
    </row>
    <row r="32" spans="1:7" ht="18" customHeight="1" x14ac:dyDescent="0.25">
      <c r="A32" s="6" t="s">
        <v>2</v>
      </c>
      <c r="B32" s="6" t="s">
        <v>107</v>
      </c>
      <c r="C32" s="6" t="s">
        <v>112</v>
      </c>
      <c r="D32" s="6" t="s">
        <v>113</v>
      </c>
    </row>
    <row r="33" spans="1:7" ht="15.75" customHeight="1" x14ac:dyDescent="0.25">
      <c r="A33" s="4" t="str">
        <f>'Raw Customer Data'!A4</f>
        <v>FB-001</v>
      </c>
      <c r="B33" s="5" t="str">
        <f>'Raw Customer Data'!G4</f>
        <v>iPhone 15</v>
      </c>
      <c r="C33" s="10" t="s">
        <v>186</v>
      </c>
      <c r="D33" s="10" t="s">
        <v>189</v>
      </c>
    </row>
    <row r="34" spans="1:7" ht="15.75" customHeight="1" x14ac:dyDescent="0.25">
      <c r="A34" s="4" t="str">
        <f>'Raw Customer Data'!A5</f>
        <v>FB-002</v>
      </c>
      <c r="B34" s="5" t="str">
        <f>'Raw Customer Data'!G5</f>
        <v>Nike Hoodie</v>
      </c>
      <c r="C34" s="10" t="s">
        <v>184</v>
      </c>
      <c r="D34" s="10" t="s">
        <v>190</v>
      </c>
    </row>
    <row r="35" spans="1:7" ht="15.75" customHeight="1" x14ac:dyDescent="0.25">
      <c r="A35" s="4" t="str">
        <f>'Raw Customer Data'!A6</f>
        <v>FB-003</v>
      </c>
      <c r="B35" s="5" t="str">
        <f>'Raw Customer Data'!G6</f>
        <v>Dyson Vacuum</v>
      </c>
      <c r="C35" s="10" t="s">
        <v>185</v>
      </c>
      <c r="D35" s="10" t="s">
        <v>191</v>
      </c>
    </row>
    <row r="36" spans="1:7" ht="15.75" customHeight="1" x14ac:dyDescent="0.25">
      <c r="A36" s="4" t="str">
        <f>'Raw Customer Data'!A7</f>
        <v>FB-004</v>
      </c>
      <c r="B36" s="5" t="str">
        <f>'Raw Customer Data'!G7</f>
        <v>Fenty Foundation</v>
      </c>
      <c r="C36" s="10" t="s">
        <v>187</v>
      </c>
      <c r="D36" s="10" t="s">
        <v>192</v>
      </c>
    </row>
    <row r="37" spans="1:7" ht="15.75" customHeight="1" x14ac:dyDescent="0.25">
      <c r="A37" s="4" t="str">
        <f>'Raw Customer Data'!A8</f>
        <v>FB-005</v>
      </c>
      <c r="B37" s="5" t="str">
        <f>'Raw Customer Data'!G8</f>
        <v>Samsung TV</v>
      </c>
      <c r="C37" s="10" t="s">
        <v>188</v>
      </c>
      <c r="D37" s="10" t="s">
        <v>193</v>
      </c>
    </row>
    <row r="39" spans="1:7" ht="19.5" customHeight="1" x14ac:dyDescent="0.25">
      <c r="A39" s="22" t="s">
        <v>114</v>
      </c>
      <c r="B39" s="22"/>
      <c r="C39" s="22"/>
      <c r="D39" s="22"/>
      <c r="E39" s="22"/>
      <c r="F39" s="22"/>
      <c r="G39" s="22"/>
    </row>
    <row r="40" spans="1:7" ht="25.5" customHeight="1" x14ac:dyDescent="0.25">
      <c r="A40" s="24" t="s">
        <v>115</v>
      </c>
      <c r="B40" s="24"/>
      <c r="C40" s="24"/>
      <c r="D40" s="24"/>
      <c r="E40" s="24"/>
      <c r="F40" s="24"/>
      <c r="G40" s="24"/>
    </row>
    <row r="41" spans="1:7" ht="18" customHeight="1" x14ac:dyDescent="0.25">
      <c r="A41" s="6" t="s">
        <v>2</v>
      </c>
      <c r="B41" s="6" t="s">
        <v>116</v>
      </c>
      <c r="C41" s="6" t="s">
        <v>117</v>
      </c>
      <c r="D41" s="6" t="s">
        <v>102</v>
      </c>
    </row>
    <row r="42" spans="1:7" ht="15.75" customHeight="1" x14ac:dyDescent="0.25">
      <c r="A42" s="4" t="str">
        <f>'Raw Customer Data'!A4</f>
        <v>FB-001</v>
      </c>
      <c r="B42" s="5" t="str">
        <f>'Raw Customer Data'!J4</f>
        <v>2125550198</v>
      </c>
      <c r="C42" s="10" t="s">
        <v>194</v>
      </c>
      <c r="D42" s="11" t="str">
        <f>SUBSTITUTE('Raw Customer Data'!J4,"-"," ")</f>
        <v>2125550198</v>
      </c>
    </row>
    <row r="43" spans="1:7" ht="15.75" customHeight="1" x14ac:dyDescent="0.25">
      <c r="A43" s="4" t="str">
        <f>'Raw Customer Data'!A5</f>
        <v>FB-002</v>
      </c>
      <c r="B43" s="5" t="str">
        <f>'Raw Customer Data'!J5</f>
        <v>3105550142</v>
      </c>
      <c r="C43" s="10" t="s">
        <v>195</v>
      </c>
      <c r="D43" s="11" t="str">
        <f>SUBSTITUTE('Raw Customer Data'!J5,"."," ")</f>
        <v>3105550142</v>
      </c>
    </row>
    <row r="44" spans="1:7" ht="15.75" customHeight="1" x14ac:dyDescent="0.25">
      <c r="A44" s="4" t="str">
        <f>'Raw Customer Data'!A6</f>
        <v>FB-003</v>
      </c>
      <c r="B44" s="5" t="str">
        <f>'Raw Customer Data'!J6</f>
        <v>3125550176</v>
      </c>
      <c r="C44" s="10" t="s">
        <v>196</v>
      </c>
      <c r="D44" s="11" t="str">
        <f>SUBSTITUTE('Raw Customer Data'!J6,"-"," ")</f>
        <v>3125550176</v>
      </c>
    </row>
    <row r="45" spans="1:7" ht="15.75" customHeight="1" x14ac:dyDescent="0.25">
      <c r="A45" s="4" t="str">
        <f>'Raw Customer Data'!A7</f>
        <v>FB-004</v>
      </c>
      <c r="B45" s="5" t="str">
        <f>'Raw Customer Data'!J7</f>
        <v>7135550189</v>
      </c>
      <c r="C45" s="10" t="s">
        <v>197</v>
      </c>
      <c r="D45" s="11" t="str">
        <f>SUBSTITUTE('Raw Customer Data'!J7,"-"," ")</f>
        <v>7135550189</v>
      </c>
    </row>
    <row r="46" spans="1:7" ht="15.75" customHeight="1" x14ac:dyDescent="0.25">
      <c r="A46" s="4" t="str">
        <f>'Raw Customer Data'!A8</f>
        <v>FB-005</v>
      </c>
      <c r="B46" s="5" t="str">
        <f>'Raw Customer Data'!J8</f>
        <v>2125550201</v>
      </c>
      <c r="C46" s="10" t="s">
        <v>198</v>
      </c>
      <c r="D46" s="11" t="str">
        <f>SUBSTITUTE('Raw Customer Data'!J8,"-"," ")</f>
        <v>2125550201</v>
      </c>
    </row>
  </sheetData>
  <mergeCells count="11">
    <mergeCell ref="A40:G40"/>
    <mergeCell ref="A21:G21"/>
    <mergeCell ref="A22:G22"/>
    <mergeCell ref="A30:G30"/>
    <mergeCell ref="A31:G31"/>
    <mergeCell ref="A39:G39"/>
    <mergeCell ref="A1:G1"/>
    <mergeCell ref="A2:G2"/>
    <mergeCell ref="A4:G4"/>
    <mergeCell ref="A5:G5"/>
    <mergeCell ref="A13:G1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2"/>
  <sheetViews>
    <sheetView zoomScaleNormal="100" workbookViewId="0">
      <selection activeCell="E7" sqref="E7"/>
    </sheetView>
  </sheetViews>
  <sheetFormatPr defaultColWidth="8.7109375" defaultRowHeight="15" x14ac:dyDescent="0.25"/>
  <cols>
    <col min="1" max="1" width="9" customWidth="1"/>
    <col min="2" max="2" width="30" customWidth="1"/>
    <col min="3" max="3" width="36" customWidth="1"/>
    <col min="4" max="4" width="14" customWidth="1"/>
    <col min="5" max="5" width="30.5703125" bestFit="1" customWidth="1"/>
  </cols>
  <sheetData>
    <row r="1" spans="1:5" ht="25.5" customHeight="1" x14ac:dyDescent="0.25">
      <c r="A1" s="19" t="s">
        <v>118</v>
      </c>
      <c r="B1" s="19"/>
      <c r="C1" s="19"/>
      <c r="D1" s="19"/>
      <c r="E1" s="19"/>
    </row>
    <row r="2" spans="1:5" ht="25.5" customHeight="1" x14ac:dyDescent="0.25">
      <c r="A2" s="20" t="s">
        <v>119</v>
      </c>
      <c r="B2" s="20"/>
      <c r="C2" s="20"/>
      <c r="D2" s="20"/>
      <c r="E2" s="20"/>
    </row>
    <row r="4" spans="1:5" ht="19.5" customHeight="1" x14ac:dyDescent="0.25">
      <c r="A4" s="22" t="s">
        <v>120</v>
      </c>
      <c r="B4" s="22"/>
      <c r="C4" s="22"/>
      <c r="D4" s="22"/>
      <c r="E4" s="22"/>
    </row>
    <row r="5" spans="1:5" ht="25.5" customHeight="1" x14ac:dyDescent="0.25">
      <c r="A5" s="24" t="s">
        <v>121</v>
      </c>
      <c r="B5" s="24"/>
      <c r="C5" s="24"/>
      <c r="D5" s="24"/>
      <c r="E5" s="24"/>
    </row>
    <row r="6" spans="1:5" ht="18" customHeight="1" x14ac:dyDescent="0.25">
      <c r="A6" s="6" t="s">
        <v>2</v>
      </c>
      <c r="B6" s="6" t="s">
        <v>122</v>
      </c>
      <c r="C6" s="6" t="s">
        <v>123</v>
      </c>
      <c r="D6" s="6" t="s">
        <v>124</v>
      </c>
    </row>
    <row r="7" spans="1:5" ht="33.75" x14ac:dyDescent="0.25">
      <c r="A7" s="4" t="str">
        <f>'Raw Customer Data'!A4</f>
        <v>FB-001</v>
      </c>
      <c r="B7" s="5" t="str">
        <f>TRIM('Raw Customer Data'!B4)&amp;" - "&amp;'Raw Customer Data'!G4</f>
        <v>James Wilson - iPhone 15</v>
      </c>
      <c r="C7" s="10" t="s">
        <v>208</v>
      </c>
      <c r="D7" s="12" t="s">
        <v>209</v>
      </c>
    </row>
    <row r="8" spans="1:5" ht="29.25" customHeight="1" x14ac:dyDescent="0.25">
      <c r="A8" s="4" t="str">
        <f>'Raw Customer Data'!A5</f>
        <v>FB-002</v>
      </c>
      <c r="B8" s="5" t="str">
        <f>TRIM('Raw Customer Data'!B5)&amp;" - "&amp;'Raw Customer Data'!G5</f>
        <v>Sarah Connor - Nike Hoodie</v>
      </c>
      <c r="C8" s="10" t="s">
        <v>210</v>
      </c>
      <c r="D8" s="12" t="s">
        <v>211</v>
      </c>
    </row>
    <row r="9" spans="1:5" ht="34.5" customHeight="1" x14ac:dyDescent="0.25">
      <c r="A9" s="4" t="str">
        <f>'Raw Customer Data'!A6</f>
        <v>FB-003</v>
      </c>
      <c r="B9" s="5" t="str">
        <f>TRIM('Raw Customer Data'!B6)&amp;" - "&amp;'Raw Customer Data'!G6</f>
        <v>Mike Johnson - Dyson Vacuum</v>
      </c>
      <c r="C9" s="10" t="s">
        <v>212</v>
      </c>
      <c r="D9" s="12" t="s">
        <v>209</v>
      </c>
    </row>
    <row r="10" spans="1:5" ht="34.5" customHeight="1" x14ac:dyDescent="0.25">
      <c r="A10" s="4" t="str">
        <f>'Raw Customer Data'!A7</f>
        <v>FB-004</v>
      </c>
      <c r="B10" s="5" t="str">
        <f>TRIM('Raw Customer Data'!B7)&amp;" - "&amp;'Raw Customer Data'!G7</f>
        <v>Emily Davis - Fenty Foundation</v>
      </c>
      <c r="C10" s="10" t="s">
        <v>213</v>
      </c>
      <c r="D10" s="12" t="s">
        <v>211</v>
      </c>
    </row>
    <row r="11" spans="1:5" ht="33.75" x14ac:dyDescent="0.25">
      <c r="A11" s="4" t="str">
        <f>'Raw Customer Data'!A8</f>
        <v>FB-005</v>
      </c>
      <c r="B11" s="5" t="str">
        <f>TRIM('Raw Customer Data'!B8)&amp;" - "&amp;'Raw Customer Data'!G8</f>
        <v>Robert Brown - Samsung TV</v>
      </c>
      <c r="C11" s="10" t="s">
        <v>208</v>
      </c>
      <c r="D11" s="12" t="s">
        <v>209</v>
      </c>
    </row>
    <row r="13" spans="1:5" ht="19.5" customHeight="1" x14ac:dyDescent="0.25">
      <c r="A13" s="22" t="s">
        <v>125</v>
      </c>
      <c r="B13" s="22"/>
      <c r="C13" s="22"/>
      <c r="D13" s="22"/>
      <c r="E13" s="22"/>
    </row>
    <row r="14" spans="1:5" ht="21.75" customHeight="1" x14ac:dyDescent="0.25">
      <c r="A14" s="26" t="s">
        <v>126</v>
      </c>
      <c r="B14" s="26"/>
      <c r="C14" s="26"/>
      <c r="D14" s="26"/>
      <c r="E14" s="26"/>
    </row>
    <row r="15" spans="1:5" ht="21.75" customHeight="1" x14ac:dyDescent="0.25">
      <c r="A15" s="27" t="s">
        <v>127</v>
      </c>
      <c r="B15" s="27"/>
      <c r="C15" s="27"/>
      <c r="D15" s="27"/>
      <c r="E15" s="27"/>
    </row>
    <row r="16" spans="1:5" ht="21.75" customHeight="1" x14ac:dyDescent="0.25">
      <c r="A16" s="26" t="s">
        <v>128</v>
      </c>
      <c r="B16" s="26"/>
      <c r="C16" s="26"/>
      <c r="D16" s="26"/>
      <c r="E16" s="26"/>
    </row>
    <row r="17" spans="1:5" ht="21.75" customHeight="1" x14ac:dyDescent="0.25">
      <c r="A17" s="27" t="s">
        <v>129</v>
      </c>
      <c r="B17" s="27"/>
      <c r="C17" s="27"/>
      <c r="D17" s="27"/>
      <c r="E17" s="27"/>
    </row>
    <row r="18" spans="1:5" ht="21.75" customHeight="1" x14ac:dyDescent="0.25">
      <c r="A18" s="26" t="s">
        <v>130</v>
      </c>
      <c r="B18" s="26"/>
      <c r="C18" s="26"/>
      <c r="D18" s="26"/>
      <c r="E18" s="26"/>
    </row>
    <row r="19" spans="1:5" ht="19.5" customHeight="1" x14ac:dyDescent="0.25">
      <c r="A19" s="22" t="s">
        <v>131</v>
      </c>
      <c r="B19" s="22"/>
      <c r="C19" s="22"/>
      <c r="D19" s="22"/>
      <c r="E19" s="22"/>
    </row>
    <row r="20" spans="1:5" ht="25.5" customHeight="1" x14ac:dyDescent="0.25">
      <c r="A20" s="25" t="s">
        <v>132</v>
      </c>
      <c r="B20" s="25"/>
      <c r="C20" s="25"/>
      <c r="D20" s="25"/>
      <c r="E20" s="25"/>
    </row>
    <row r="21" spans="1:5" ht="25.5" customHeight="1" x14ac:dyDescent="0.25">
      <c r="A21" s="25" t="s">
        <v>133</v>
      </c>
      <c r="B21" s="25"/>
      <c r="C21" s="25"/>
      <c r="D21" s="25"/>
      <c r="E21" s="25"/>
    </row>
    <row r="22" spans="1:5" ht="25.5" customHeight="1" x14ac:dyDescent="0.25">
      <c r="A22" s="25" t="s">
        <v>134</v>
      </c>
      <c r="B22" s="25"/>
      <c r="C22" s="25"/>
      <c r="D22" s="25"/>
      <c r="E22" s="25"/>
    </row>
  </sheetData>
  <mergeCells count="14">
    <mergeCell ref="A19:E19"/>
    <mergeCell ref="A20:E20"/>
    <mergeCell ref="A21:E21"/>
    <mergeCell ref="A22:E22"/>
    <mergeCell ref="A14:E14"/>
    <mergeCell ref="A15:E15"/>
    <mergeCell ref="A16:E16"/>
    <mergeCell ref="A17:E17"/>
    <mergeCell ref="A18:E18"/>
    <mergeCell ref="A1:E1"/>
    <mergeCell ref="A2:E2"/>
    <mergeCell ref="A4:E4"/>
    <mergeCell ref="A5:E5"/>
    <mergeCell ref="A13:E1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
  <sheetViews>
    <sheetView zoomScaleNormal="100" workbookViewId="0">
      <selection sqref="A1:C1"/>
    </sheetView>
  </sheetViews>
  <sheetFormatPr defaultColWidth="8.7109375" defaultRowHeight="15" x14ac:dyDescent="0.25"/>
  <cols>
    <col min="1" max="2" width="40" customWidth="1"/>
    <col min="3" max="3" width="30" customWidth="1"/>
  </cols>
  <sheetData>
    <row r="1" spans="1:3" ht="25.5" customHeight="1" x14ac:dyDescent="0.25">
      <c r="A1" s="19" t="s">
        <v>135</v>
      </c>
      <c r="B1" s="19"/>
      <c r="C1" s="19"/>
    </row>
    <row r="2" spans="1:3" ht="25.5" customHeight="1" x14ac:dyDescent="0.25">
      <c r="A2" s="20" t="s">
        <v>136</v>
      </c>
      <c r="B2" s="20"/>
      <c r="C2" s="20"/>
    </row>
    <row r="4" spans="1:3" ht="18" customHeight="1" x14ac:dyDescent="0.25">
      <c r="A4" s="1" t="s">
        <v>137</v>
      </c>
      <c r="B4" s="1" t="s">
        <v>138</v>
      </c>
      <c r="C4" s="1" t="s">
        <v>139</v>
      </c>
    </row>
    <row r="5" spans="1:3" ht="43.5" customHeight="1" x14ac:dyDescent="0.25">
      <c r="A5" s="13" t="s">
        <v>140</v>
      </c>
      <c r="B5" s="14" t="s">
        <v>141</v>
      </c>
      <c r="C5" s="15" t="s">
        <v>142</v>
      </c>
    </row>
    <row r="6" spans="1:3" ht="43.5" customHeight="1" x14ac:dyDescent="0.25">
      <c r="A6" s="13" t="s">
        <v>143</v>
      </c>
      <c r="B6" s="14" t="s">
        <v>144</v>
      </c>
      <c r="C6" s="15" t="s">
        <v>145</v>
      </c>
    </row>
    <row r="7" spans="1:3" ht="43.5" customHeight="1" x14ac:dyDescent="0.25">
      <c r="A7" s="13" t="s">
        <v>146</v>
      </c>
      <c r="B7" s="14" t="s">
        <v>147</v>
      </c>
      <c r="C7" s="15" t="s">
        <v>148</v>
      </c>
    </row>
    <row r="9" spans="1:3" ht="25.5" customHeight="1" x14ac:dyDescent="0.25">
      <c r="A9" s="25" t="s">
        <v>149</v>
      </c>
      <c r="B9" s="25"/>
      <c r="C9" s="25"/>
    </row>
  </sheetData>
  <mergeCells count="3">
    <mergeCell ref="A1:C1"/>
    <mergeCell ref="A2:C2"/>
    <mergeCell ref="A9:C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7"/>
  <sheetViews>
    <sheetView tabSelected="1" topLeftCell="A33" zoomScaleNormal="100" workbookViewId="0">
      <selection activeCell="H38" sqref="H38"/>
    </sheetView>
  </sheetViews>
  <sheetFormatPr defaultColWidth="8.7109375" defaultRowHeight="15" x14ac:dyDescent="0.25"/>
  <cols>
    <col min="1" max="1" width="40" customWidth="1"/>
    <col min="2" max="5" width="18" customWidth="1"/>
  </cols>
  <sheetData>
    <row r="1" spans="1:5" ht="25.5" customHeight="1" x14ac:dyDescent="0.25">
      <c r="A1" s="19" t="s">
        <v>150</v>
      </c>
      <c r="B1" s="19"/>
      <c r="C1" s="19"/>
      <c r="D1" s="19"/>
      <c r="E1" s="19"/>
    </row>
    <row r="2" spans="1:5" ht="25.5" customHeight="1" x14ac:dyDescent="0.25">
      <c r="A2" s="20" t="s">
        <v>151</v>
      </c>
      <c r="B2" s="20"/>
      <c r="C2" s="20"/>
      <c r="D2" s="20"/>
      <c r="E2" s="20"/>
    </row>
    <row r="4" spans="1:5" ht="19.5" customHeight="1" x14ac:dyDescent="0.25">
      <c r="A4" s="21" t="s">
        <v>152</v>
      </c>
      <c r="B4" s="22"/>
      <c r="C4" s="22"/>
      <c r="D4" s="22"/>
      <c r="E4" s="22"/>
    </row>
    <row r="5" spans="1:5" ht="21.75" customHeight="1" x14ac:dyDescent="0.25">
      <c r="A5" s="16" t="s">
        <v>153</v>
      </c>
      <c r="B5" s="23" t="s">
        <v>309</v>
      </c>
      <c r="C5" s="23"/>
      <c r="D5" s="23"/>
      <c r="E5" s="23"/>
    </row>
    <row r="6" spans="1:5" ht="21.75" customHeight="1" x14ac:dyDescent="0.25">
      <c r="A6" s="16" t="s">
        <v>154</v>
      </c>
      <c r="B6" s="23" t="s">
        <v>310</v>
      </c>
      <c r="C6" s="23"/>
      <c r="D6" s="23"/>
      <c r="E6" s="23"/>
    </row>
    <row r="7" spans="1:5" ht="21.75" customHeight="1" x14ac:dyDescent="0.25">
      <c r="A7" s="16" t="s">
        <v>155</v>
      </c>
      <c r="B7" s="23" t="s">
        <v>209</v>
      </c>
      <c r="C7" s="23"/>
      <c r="D7" s="23"/>
      <c r="E7" s="23"/>
    </row>
    <row r="8" spans="1:5" ht="21.75" customHeight="1" x14ac:dyDescent="0.25">
      <c r="A8" s="16" t="s">
        <v>156</v>
      </c>
      <c r="B8" s="23" t="s">
        <v>311</v>
      </c>
      <c r="C8" s="23"/>
      <c r="D8" s="23"/>
      <c r="E8" s="23"/>
    </row>
    <row r="9" spans="1:5" ht="21.75" customHeight="1" x14ac:dyDescent="0.25">
      <c r="A9" s="16" t="s">
        <v>157</v>
      </c>
      <c r="B9" s="23" t="s">
        <v>311</v>
      </c>
      <c r="C9" s="23"/>
      <c r="D9" s="23"/>
      <c r="E9" s="23"/>
    </row>
    <row r="10" spans="1:5" ht="21.75" customHeight="1" x14ac:dyDescent="0.25">
      <c r="A10" s="16" t="s">
        <v>158</v>
      </c>
      <c r="B10" s="23" t="s">
        <v>325</v>
      </c>
      <c r="C10" s="23"/>
      <c r="D10" s="23"/>
      <c r="E10" s="23"/>
    </row>
    <row r="11" spans="1:5" ht="21.75" customHeight="1" x14ac:dyDescent="0.25">
      <c r="A11" s="16" t="s">
        <v>159</v>
      </c>
      <c r="B11" s="23" t="s">
        <v>311</v>
      </c>
      <c r="C11" s="23"/>
      <c r="D11" s="23"/>
      <c r="E11" s="23"/>
    </row>
    <row r="13" spans="1:5" ht="19.5" customHeight="1" x14ac:dyDescent="0.25">
      <c r="A13" s="21" t="s">
        <v>160</v>
      </c>
      <c r="B13" s="22"/>
      <c r="C13" s="22"/>
      <c r="D13" s="22"/>
      <c r="E13" s="22"/>
    </row>
    <row r="14" spans="1:5" ht="21.75" customHeight="1" x14ac:dyDescent="0.25">
      <c r="A14" s="16" t="s">
        <v>153</v>
      </c>
      <c r="B14" s="23" t="s">
        <v>312</v>
      </c>
      <c r="C14" s="23"/>
      <c r="D14" s="23"/>
      <c r="E14" s="23"/>
    </row>
    <row r="15" spans="1:5" ht="21.75" customHeight="1" x14ac:dyDescent="0.25">
      <c r="A15" s="16" t="s">
        <v>154</v>
      </c>
      <c r="B15" s="23" t="s">
        <v>313</v>
      </c>
      <c r="C15" s="23"/>
      <c r="D15" s="23"/>
      <c r="E15" s="23"/>
    </row>
    <row r="16" spans="1:5" ht="21.75" customHeight="1" x14ac:dyDescent="0.25">
      <c r="A16" s="16" t="s">
        <v>155</v>
      </c>
      <c r="B16" s="23" t="s">
        <v>209</v>
      </c>
      <c r="C16" s="23"/>
      <c r="D16" s="23"/>
      <c r="E16" s="23"/>
    </row>
    <row r="17" spans="1:5" ht="49.5" customHeight="1" x14ac:dyDescent="0.25">
      <c r="A17" s="16" t="s">
        <v>156</v>
      </c>
      <c r="B17" s="23" t="s">
        <v>314</v>
      </c>
      <c r="C17" s="23"/>
      <c r="D17" s="23"/>
      <c r="E17" s="23"/>
    </row>
    <row r="18" spans="1:5" ht="21.75" customHeight="1" x14ac:dyDescent="0.25">
      <c r="A18" s="16" t="s">
        <v>157</v>
      </c>
      <c r="B18" s="23" t="s">
        <v>315</v>
      </c>
      <c r="C18" s="23"/>
      <c r="D18" s="23"/>
      <c r="E18" s="23"/>
    </row>
    <row r="19" spans="1:5" ht="32.25" customHeight="1" x14ac:dyDescent="0.25">
      <c r="A19" s="16" t="s">
        <v>158</v>
      </c>
      <c r="B19" s="23" t="s">
        <v>317</v>
      </c>
      <c r="C19" s="23"/>
      <c r="D19" s="23"/>
      <c r="E19" s="23"/>
    </row>
    <row r="20" spans="1:5" ht="33.75" customHeight="1" x14ac:dyDescent="0.25">
      <c r="A20" s="16" t="s">
        <v>159</v>
      </c>
      <c r="B20" s="23" t="s">
        <v>316</v>
      </c>
      <c r="C20" s="23"/>
      <c r="D20" s="23"/>
      <c r="E20" s="23"/>
    </row>
    <row r="22" spans="1:5" ht="19.5" customHeight="1" x14ac:dyDescent="0.25">
      <c r="A22" s="21" t="s">
        <v>161</v>
      </c>
      <c r="B22" s="22"/>
      <c r="C22" s="22"/>
      <c r="D22" s="22"/>
      <c r="E22" s="22"/>
    </row>
    <row r="23" spans="1:5" ht="21.75" customHeight="1" x14ac:dyDescent="0.25">
      <c r="A23" s="16" t="s">
        <v>153</v>
      </c>
      <c r="B23" s="23" t="s">
        <v>318</v>
      </c>
      <c r="C23" s="23"/>
      <c r="D23" s="23"/>
      <c r="E23" s="23"/>
    </row>
    <row r="24" spans="1:5" ht="29.25" customHeight="1" x14ac:dyDescent="0.25">
      <c r="A24" s="16" t="s">
        <v>154</v>
      </c>
      <c r="B24" s="23" t="s">
        <v>319</v>
      </c>
      <c r="C24" s="23"/>
      <c r="D24" s="23"/>
      <c r="E24" s="23"/>
    </row>
    <row r="25" spans="1:5" ht="21.75" customHeight="1" x14ac:dyDescent="0.25">
      <c r="A25" s="16" t="s">
        <v>155</v>
      </c>
      <c r="B25" s="23" t="s">
        <v>320</v>
      </c>
      <c r="C25" s="23"/>
      <c r="D25" s="23"/>
      <c r="E25" s="23"/>
    </row>
    <row r="26" spans="1:5" ht="59.25" customHeight="1" x14ac:dyDescent="0.25">
      <c r="A26" s="16" t="s">
        <v>156</v>
      </c>
      <c r="B26" s="23" t="s">
        <v>321</v>
      </c>
      <c r="C26" s="23"/>
      <c r="D26" s="23"/>
      <c r="E26" s="23"/>
    </row>
    <row r="27" spans="1:5" ht="21.75" customHeight="1" x14ac:dyDescent="0.25">
      <c r="A27" s="16" t="s">
        <v>157</v>
      </c>
      <c r="B27" s="23" t="s">
        <v>315</v>
      </c>
      <c r="C27" s="23"/>
      <c r="D27" s="23"/>
      <c r="E27" s="23"/>
    </row>
    <row r="28" spans="1:5" ht="21.75" customHeight="1" x14ac:dyDescent="0.25">
      <c r="A28" s="16" t="s">
        <v>158</v>
      </c>
      <c r="B28" s="23" t="s">
        <v>322</v>
      </c>
      <c r="C28" s="23"/>
      <c r="D28" s="23"/>
      <c r="E28" s="23"/>
    </row>
    <row r="29" spans="1:5" ht="33.75" customHeight="1" x14ac:dyDescent="0.25">
      <c r="A29" s="16" t="s">
        <v>159</v>
      </c>
      <c r="B29" s="23" t="s">
        <v>316</v>
      </c>
      <c r="C29" s="23"/>
      <c r="D29" s="23"/>
      <c r="E29" s="23"/>
    </row>
    <row r="31" spans="1:5" ht="19.5" customHeight="1" x14ac:dyDescent="0.25">
      <c r="A31" s="21" t="s">
        <v>162</v>
      </c>
      <c r="B31" s="22"/>
      <c r="C31" s="22"/>
      <c r="D31" s="22"/>
      <c r="E31" s="22"/>
    </row>
    <row r="32" spans="1:5" ht="21.75" customHeight="1" x14ac:dyDescent="0.25">
      <c r="A32" s="16" t="s">
        <v>153</v>
      </c>
      <c r="B32" s="23" t="s">
        <v>323</v>
      </c>
      <c r="C32" s="23"/>
      <c r="D32" s="23"/>
      <c r="E32" s="23"/>
    </row>
    <row r="33" spans="1:5" ht="62.25" customHeight="1" x14ac:dyDescent="0.25">
      <c r="A33" s="16" t="s">
        <v>154</v>
      </c>
      <c r="B33" s="23" t="s">
        <v>326</v>
      </c>
      <c r="C33" s="23"/>
      <c r="D33" s="23"/>
      <c r="E33" s="23"/>
    </row>
    <row r="34" spans="1:5" ht="21.75" customHeight="1" x14ac:dyDescent="0.25">
      <c r="A34" s="16" t="s">
        <v>155</v>
      </c>
      <c r="B34" s="23" t="s">
        <v>320</v>
      </c>
      <c r="C34" s="23"/>
      <c r="D34" s="23"/>
      <c r="E34" s="23"/>
    </row>
    <row r="35" spans="1:5" ht="47.25" customHeight="1" x14ac:dyDescent="0.25">
      <c r="A35" s="16" t="s">
        <v>156</v>
      </c>
      <c r="B35" s="23" t="s">
        <v>327</v>
      </c>
      <c r="C35" s="23"/>
      <c r="D35" s="23"/>
      <c r="E35" s="23"/>
    </row>
    <row r="36" spans="1:5" ht="31.5" customHeight="1" x14ac:dyDescent="0.25">
      <c r="A36" s="16" t="s">
        <v>157</v>
      </c>
      <c r="B36" s="23" t="s">
        <v>328</v>
      </c>
      <c r="C36" s="23"/>
      <c r="D36" s="23"/>
      <c r="E36" s="23"/>
    </row>
    <row r="37" spans="1:5" ht="21.75" customHeight="1" x14ac:dyDescent="0.25">
      <c r="A37" s="16" t="s">
        <v>158</v>
      </c>
      <c r="B37" s="23" t="s">
        <v>325</v>
      </c>
      <c r="C37" s="23"/>
      <c r="D37" s="23"/>
      <c r="E37" s="23"/>
    </row>
    <row r="38" spans="1:5" ht="21.75" customHeight="1" x14ac:dyDescent="0.25">
      <c r="A38" s="16" t="s">
        <v>159</v>
      </c>
      <c r="B38" s="23" t="s">
        <v>324</v>
      </c>
      <c r="C38" s="23"/>
      <c r="D38" s="23"/>
      <c r="E38" s="23"/>
    </row>
    <row r="40" spans="1:5" ht="19.5" customHeight="1" x14ac:dyDescent="0.25">
      <c r="A40" s="21" t="s">
        <v>163</v>
      </c>
      <c r="B40" s="22"/>
      <c r="C40" s="22"/>
      <c r="D40" s="22"/>
      <c r="E40" s="22"/>
    </row>
    <row r="41" spans="1:5" ht="21.75" customHeight="1" x14ac:dyDescent="0.25">
      <c r="A41" s="16" t="s">
        <v>153</v>
      </c>
      <c r="B41" s="23" t="s">
        <v>329</v>
      </c>
      <c r="C41" s="23"/>
      <c r="D41" s="23"/>
      <c r="E41" s="23"/>
    </row>
    <row r="42" spans="1:5" ht="21.75" customHeight="1" x14ac:dyDescent="0.25">
      <c r="A42" s="16" t="s">
        <v>154</v>
      </c>
      <c r="B42" s="23" t="s">
        <v>330</v>
      </c>
      <c r="C42" s="23"/>
      <c r="D42" s="23"/>
      <c r="E42" s="23"/>
    </row>
    <row r="43" spans="1:5" ht="21.75" customHeight="1" x14ac:dyDescent="0.25">
      <c r="A43" s="16" t="s">
        <v>155</v>
      </c>
      <c r="B43" s="23" t="s">
        <v>320</v>
      </c>
      <c r="C43" s="23"/>
      <c r="D43" s="23"/>
      <c r="E43" s="23"/>
    </row>
    <row r="44" spans="1:5" ht="21.75" customHeight="1" x14ac:dyDescent="0.25">
      <c r="A44" s="16" t="s">
        <v>156</v>
      </c>
      <c r="B44" s="23" t="s">
        <v>324</v>
      </c>
      <c r="C44" s="23"/>
      <c r="D44" s="23"/>
      <c r="E44" s="23"/>
    </row>
    <row r="45" spans="1:5" ht="21.75" customHeight="1" x14ac:dyDescent="0.25">
      <c r="A45" s="16" t="s">
        <v>157</v>
      </c>
      <c r="B45" s="23" t="s">
        <v>324</v>
      </c>
      <c r="C45" s="23"/>
      <c r="D45" s="23"/>
      <c r="E45" s="23"/>
    </row>
    <row r="46" spans="1:5" ht="21.75" customHeight="1" x14ac:dyDescent="0.25">
      <c r="A46" s="16" t="s">
        <v>158</v>
      </c>
      <c r="B46" s="23" t="s">
        <v>325</v>
      </c>
      <c r="C46" s="23"/>
      <c r="D46" s="23"/>
      <c r="E46" s="23"/>
    </row>
    <row r="47" spans="1:5" ht="21.75" customHeight="1" x14ac:dyDescent="0.25">
      <c r="A47" s="16" t="s">
        <v>159</v>
      </c>
      <c r="B47" s="23" t="s">
        <v>324</v>
      </c>
      <c r="C47" s="23"/>
      <c r="D47" s="23"/>
      <c r="E47" s="23"/>
    </row>
  </sheetData>
  <mergeCells count="42">
    <mergeCell ref="B46:E46"/>
    <mergeCell ref="B47:E47"/>
    <mergeCell ref="B41:E41"/>
    <mergeCell ref="B42:E42"/>
    <mergeCell ref="B43:E43"/>
    <mergeCell ref="B44:E44"/>
    <mergeCell ref="B45:E45"/>
    <mergeCell ref="B35:E35"/>
    <mergeCell ref="B36:E36"/>
    <mergeCell ref="B37:E37"/>
    <mergeCell ref="B38:E38"/>
    <mergeCell ref="A40:E40"/>
    <mergeCell ref="B29:E29"/>
    <mergeCell ref="A31:E31"/>
    <mergeCell ref="B32:E32"/>
    <mergeCell ref="B33:E33"/>
    <mergeCell ref="B34:E34"/>
    <mergeCell ref="B24:E24"/>
    <mergeCell ref="B25:E25"/>
    <mergeCell ref="B26:E26"/>
    <mergeCell ref="B27:E27"/>
    <mergeCell ref="B28:E28"/>
    <mergeCell ref="B18:E18"/>
    <mergeCell ref="B19:E19"/>
    <mergeCell ref="B20:E20"/>
    <mergeCell ref="A22:E22"/>
    <mergeCell ref="B23:E23"/>
    <mergeCell ref="A13:E13"/>
    <mergeCell ref="B14:E14"/>
    <mergeCell ref="B15:E15"/>
    <mergeCell ref="B16:E16"/>
    <mergeCell ref="B17:E17"/>
    <mergeCell ref="B7:E7"/>
    <mergeCell ref="B8:E8"/>
    <mergeCell ref="B9:E9"/>
    <mergeCell ref="B10:E10"/>
    <mergeCell ref="B11:E11"/>
    <mergeCell ref="A1:E1"/>
    <mergeCell ref="A2:E2"/>
    <mergeCell ref="A4:E4"/>
    <mergeCell ref="B5:E5"/>
    <mergeCell ref="B6:E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Customer Data</vt:lpstr>
      <vt:lpstr>Text Functions Practice</vt:lpstr>
      <vt:lpstr>Cleaning Workspace</vt:lpstr>
      <vt:lpstr>Duplicates Practice</vt:lpstr>
      <vt:lpstr>Orbitex Callback</vt:lpstr>
      <vt:lpstr>AI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Mudasir Ahmed</cp:lastModifiedBy>
  <cp:revision>0</cp:revision>
  <dcterms:created xsi:type="dcterms:W3CDTF">2026-08-18T11:25:34Z</dcterms:created>
  <dcterms:modified xsi:type="dcterms:W3CDTF">2026-07-12T05:10:52Z</dcterms:modified>
  <dc:language>en-US</dc:language>
</cp:coreProperties>
</file>