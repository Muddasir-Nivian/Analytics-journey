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6.xml" ContentType="application/vnd.openxmlformats-officedocument.drawing+xml"/>
  <Override PartName="/xl/slicers/slicer4.xml" ContentType="application/vnd.ms-excel.slicer+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ink/ink1.xml" ContentType="application/inkml+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ink/ink2.xml" ContentType="application/inkml+xml"/>
  <Override PartName="/xl/ink/ink3.xml" ContentType="application/inkml+xml"/>
  <Override PartName="/xl/ink/ink4.xml" ContentType="application/inkml+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drawings/drawing7.xml" ContentType="application/vnd.openxmlformats-officedocument.drawing+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8.xml" ContentType="application/vnd.openxmlformats-officedocument.drawing+xml"/>
  <Override PartName="/xl/slicers/slicer5.xml" ContentType="application/vnd.ms-excel.slicer+xml"/>
  <Override PartName="/xl/drawings/drawing9.xml" ContentType="application/vnd.openxmlformats-officedocument.drawing+xml"/>
  <Override PartName="/xl/charts/chart3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Kamran Pc\Downloads\"/>
    </mc:Choice>
  </mc:AlternateContent>
  <xr:revisionPtr revIDLastSave="0" documentId="13_ncr:1_{F7591564-269E-430B-BDE0-E899EEC8F0A3}" xr6:coauthVersionLast="47" xr6:coauthVersionMax="47" xr10:uidLastSave="{00000000-0000-0000-0000-000000000000}"/>
  <bookViews>
    <workbookView xWindow="-120" yWindow="-120" windowWidth="24240" windowHeight="13140" firstSheet="7" activeTab="12" xr2:uid="{00000000-000D-0000-FFFF-FFFF00000000}"/>
  </bookViews>
  <sheets>
    <sheet name="Sheet1" sheetId="8" state="hidden" r:id="rId1"/>
    <sheet name="Conditional Formatting" sheetId="4" r:id="rId2"/>
    <sheet name="Slicers Guide" sheetId="5" r:id="rId3"/>
    <sheet name="Pivot Table Tasks" sheetId="3" r:id="rId4"/>
    <sheet name="KPI Definition" sheetId="2" r:id="rId5"/>
    <sheet name="Sales Data" sheetId="1" r:id="rId6"/>
    <sheet name="Dashboard Charts" sheetId="10" r:id="rId7"/>
    <sheet name="Dashboard Pivot tables" sheetId="13" r:id="rId8"/>
    <sheet name="Dashboard" sheetId="14" r:id="rId9"/>
    <sheet name="Dashboard Layout Design" sheetId="15" r:id="rId10"/>
    <sheet name="Dashboard Brief" sheetId="6" r:id="rId11"/>
    <sheet name="Pivot tables" sheetId="12" r:id="rId12"/>
    <sheet name="AI Audit" sheetId="7" r:id="rId13"/>
  </sheets>
  <externalReferences>
    <externalReference r:id="rId14"/>
  </externalReferences>
  <definedNames>
    <definedName name="_xlnm._FilterDatabase" localSheetId="7" hidden="1">'Dashboard Pivot tables'!$X$17:$X$30</definedName>
    <definedName name="_xlnm._FilterDatabase" localSheetId="11" hidden="1">'Pivot tables'!$E$38:$E$49</definedName>
    <definedName name="_xlnm._FilterDatabase" localSheetId="5" hidden="1">'Sales Data'!$E$3:$E$204</definedName>
    <definedName name="Slicer_Customer_Segment">#N/A</definedName>
    <definedName name="Slicer_Customer_Segment1">#N/A</definedName>
    <definedName name="Slicer_Month2">#N/A</definedName>
    <definedName name="Slicer_Product">#N/A</definedName>
    <definedName name="Slicer_Product_Category">#N/A</definedName>
    <definedName name="Slicer_Region">#N/A</definedName>
    <definedName name="Slicer_Sales_Rep">#N/A</definedName>
  </definedNames>
  <calcPr calcId="191029"/>
  <pivotCaches>
    <pivotCache cacheId="0" r:id="rId15"/>
    <pivotCache cacheId="1" r:id="rId16"/>
    <pivotCache cacheId="2" r:id="rId17"/>
  </pivotCaches>
  <extLst>
    <ext xmlns:x14="http://schemas.microsoft.com/office/spreadsheetml/2009/9/main" uri="{BBE1A952-AA13-448e-AADC-164F8A28A991}">
      <x14:slicerCaches>
        <x14:slicerCache r:id="rId18"/>
        <x14:slicerCache r:id="rId19"/>
        <x14:slicerCache r:id="rId20"/>
        <x14:slicerCache r:id="rId21"/>
        <x14:slicerCache r:id="rId22"/>
        <x14:slicerCache r:id="rId23"/>
        <x14:slicerCache r:id="rId2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4" i="14" l="1"/>
  <c r="E2" i="13"/>
  <c r="J2" i="13" a="1"/>
  <c r="J2" i="13" s="1"/>
  <c r="L2" i="13" s="1"/>
  <c r="C5" i="13"/>
  <c r="C4" i="13"/>
  <c r="C3" i="13"/>
  <c r="C2" i="13"/>
  <c r="C6" i="13" s="1"/>
  <c r="C7" i="13" s="1"/>
  <c r="A2" i="13"/>
  <c r="V2" i="14" s="1"/>
  <c r="L6" i="1"/>
  <c r="K46" i="12"/>
  <c r="K45" i="12"/>
  <c r="K38" i="12"/>
  <c r="H38" i="12"/>
  <c r="L4" i="1"/>
  <c r="J204" i="1"/>
  <c r="L10" i="13" l="1"/>
  <c r="L6" i="13"/>
  <c r="L13" i="13"/>
  <c r="L9" i="13"/>
  <c r="L5" i="13"/>
  <c r="L12" i="13"/>
  <c r="L8" i="13"/>
  <c r="L4" i="13"/>
  <c r="L11" i="13"/>
  <c r="L7" i="13"/>
  <c r="L3" i="13"/>
  <c r="A3" i="13"/>
  <c r="H2" i="13" l="1"/>
  <c r="H3"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<sst xmlns="http://schemas.openxmlformats.org/spreadsheetml/2006/main" count="2963" uniqueCount="719">
  <si>
    <t>NEXACORE RETAIL — Sales Transaction Data (Clean — 200 Rows)</t>
  </si>
  <si>
    <t>This is your Week 4 dataset. Use it to build Pivot Tables, apply Conditional Formatting, add Slicers, define KPIs, and build your Sales Dashboard.</t>
  </si>
  <si>
    <t>Transaction ID</t>
  </si>
  <si>
    <t>Date</t>
  </si>
  <si>
    <t>Month</t>
  </si>
  <si>
    <t>Sales Rep</t>
  </si>
  <si>
    <t>Region</t>
  </si>
  <si>
    <t>Product Category</t>
  </si>
  <si>
    <t>Product</t>
  </si>
  <si>
    <t>Units Sold</t>
  </si>
  <si>
    <t>Unit Price ($)</t>
  </si>
  <si>
    <t>Revenue ($)</t>
  </si>
  <si>
    <t>Customer Segment</t>
  </si>
  <si>
    <t>TXN-001</t>
  </si>
  <si>
    <t>2026-02-02</t>
  </si>
  <si>
    <t>February</t>
  </si>
  <si>
    <t>Robert Brown</t>
  </si>
  <si>
    <t>South</t>
  </si>
  <si>
    <t>Clothing</t>
  </si>
  <si>
    <t>Levi Jeans</t>
  </si>
  <si>
    <t>Standard</t>
  </si>
  <si>
    <t>TXN-002</t>
  </si>
  <si>
    <t>2026-03-03</t>
  </si>
  <si>
    <t>March</t>
  </si>
  <si>
    <t>Chris Anderson</t>
  </si>
  <si>
    <t>East</t>
  </si>
  <si>
    <t>Home Appliances</t>
  </si>
  <si>
    <t>Instant Pot</t>
  </si>
  <si>
    <t>Budget</t>
  </si>
  <si>
    <t>TXN-003</t>
  </si>
  <si>
    <t>2026-04-04</t>
  </si>
  <si>
    <t>April</t>
  </si>
  <si>
    <t>Amanda Thomas</t>
  </si>
  <si>
    <t>West</t>
  </si>
  <si>
    <t>Beauty</t>
  </si>
  <si>
    <t>Tatcha Serum</t>
  </si>
  <si>
    <t>Premium</t>
  </si>
  <si>
    <t>TXN-004</t>
  </si>
  <si>
    <t>2026-05-05</t>
  </si>
  <si>
    <t>May</t>
  </si>
  <si>
    <t>Sarah Connor</t>
  </si>
  <si>
    <t>North</t>
  </si>
  <si>
    <t>Sports</t>
  </si>
  <si>
    <t>TRX System</t>
  </si>
  <si>
    <t>TXN-005</t>
  </si>
  <si>
    <t>2026-06-06</t>
  </si>
  <si>
    <t>June</t>
  </si>
  <si>
    <t>Lisa Martinez</t>
  </si>
  <si>
    <t>Electronics</t>
  </si>
  <si>
    <t>Sony Headphones</t>
  </si>
  <si>
    <t>TXN-006</t>
  </si>
  <si>
    <t>2026-01-07</t>
  </si>
  <si>
    <t>January</t>
  </si>
  <si>
    <t>David Lee</t>
  </si>
  <si>
    <t>Nike Hoodie</t>
  </si>
  <si>
    <t>TXN-007</t>
  </si>
  <si>
    <t>2026-02-08</t>
  </si>
  <si>
    <t>Joshua Jackson</t>
  </si>
  <si>
    <t>KitchenAid Mixer</t>
  </si>
  <si>
    <t>TXN-008</t>
  </si>
  <si>
    <t>2026-03-09</t>
  </si>
  <si>
    <t>Mike Johnson</t>
  </si>
  <si>
    <t>MAC Lipstick</t>
  </si>
  <si>
    <t>TXN-009</t>
  </si>
  <si>
    <t>2026-04-10</t>
  </si>
  <si>
    <t>Emily Davis</t>
  </si>
  <si>
    <t>Yeti Cooler</t>
  </si>
  <si>
    <t>TXN-010</t>
  </si>
  <si>
    <t>2026-05-11</t>
  </si>
  <si>
    <t>Jennifer Taylor</t>
  </si>
  <si>
    <t>Dell Laptop</t>
  </si>
  <si>
    <t>TXN-011</t>
  </si>
  <si>
    <t>2026-06-12</t>
  </si>
  <si>
    <t>Ashley White</t>
  </si>
  <si>
    <t>Ralph Lauren Polo</t>
  </si>
  <si>
    <t>TXN-012</t>
  </si>
  <si>
    <t>2026-01-13</t>
  </si>
  <si>
    <t>James Wilson</t>
  </si>
  <si>
    <t>Dyson Vacuum</t>
  </si>
  <si>
    <t>TXN-013</t>
  </si>
  <si>
    <t>2026-02-14</t>
  </si>
  <si>
    <t>Dior Perfume</t>
  </si>
  <si>
    <t>TXN-014</t>
  </si>
  <si>
    <t>2026-03-15</t>
  </si>
  <si>
    <t>Garmin Watch</t>
  </si>
  <si>
    <t>TXN-015</t>
  </si>
  <si>
    <t>2026-04-16</t>
  </si>
  <si>
    <t>AirPods Pro</t>
  </si>
  <si>
    <t>TXN-016</t>
  </si>
  <si>
    <t>2026-05-17</t>
  </si>
  <si>
    <t>Jordan Sneakers</t>
  </si>
  <si>
    <t>TXN-017</t>
  </si>
  <si>
    <t>2026-06-18</t>
  </si>
  <si>
    <t>Weber Grill</t>
  </si>
  <si>
    <t>TXN-018</t>
  </si>
  <si>
    <t>2026-01-19</t>
  </si>
  <si>
    <t>Fenty Foundation</t>
  </si>
  <si>
    <t>TXN-019</t>
  </si>
  <si>
    <t>2026-02-20</t>
  </si>
  <si>
    <t>Bowflex Dumbbells</t>
  </si>
  <si>
    <t>TXN-020</t>
  </si>
  <si>
    <t>2026-03-21</t>
  </si>
  <si>
    <t>Samsung TV</t>
  </si>
  <si>
    <t>TXN-021</t>
  </si>
  <si>
    <t>2026-04-22</t>
  </si>
  <si>
    <t>Zara Dress</t>
  </si>
  <si>
    <t>TXN-022</t>
  </si>
  <si>
    <t>2026-05-23</t>
  </si>
  <si>
    <t>Keurig Coffee</t>
  </si>
  <si>
    <t>TXN-023</t>
  </si>
  <si>
    <t>2026-06-24</t>
  </si>
  <si>
    <t>Charlotte Tilbury</t>
  </si>
  <si>
    <t>TXN-024</t>
  </si>
  <si>
    <t>2026-01-25</t>
  </si>
  <si>
    <t>Peloton Bike</t>
  </si>
  <si>
    <t>TXN-025</t>
  </si>
  <si>
    <t>2026-02-26</t>
  </si>
  <si>
    <t>MacBook Pro</t>
  </si>
  <si>
    <t>TXN-026</t>
  </si>
  <si>
    <t>2026-03-27</t>
  </si>
  <si>
    <t>Adidas Tracksuit</t>
  </si>
  <si>
    <t>TXN-027</t>
  </si>
  <si>
    <t>2026-04-28</t>
  </si>
  <si>
    <t>Ninja Blender</t>
  </si>
  <si>
    <t>TXN-028</t>
  </si>
  <si>
    <t>2026-05-01</t>
  </si>
  <si>
    <t>SK-II Essence</t>
  </si>
  <si>
    <t>TXN-029</t>
  </si>
  <si>
    <t>2026-06-02</t>
  </si>
  <si>
    <t>Fitbit Tracker</t>
  </si>
  <si>
    <t>TXN-030</t>
  </si>
  <si>
    <t>2026-01-03</t>
  </si>
  <si>
    <t>iPhone 15</t>
  </si>
  <si>
    <t>TXN-031</t>
  </si>
  <si>
    <t>2026-02-04</t>
  </si>
  <si>
    <t>TXN-032</t>
  </si>
  <si>
    <t>2026-03-05</t>
  </si>
  <si>
    <t>TXN-033</t>
  </si>
  <si>
    <t>2026-04-06</t>
  </si>
  <si>
    <t>TXN-034</t>
  </si>
  <si>
    <t>2026-05-07</t>
  </si>
  <si>
    <t>TXN-035</t>
  </si>
  <si>
    <t>2026-06-08</t>
  </si>
  <si>
    <t>TXN-036</t>
  </si>
  <si>
    <t>2026-01-09</t>
  </si>
  <si>
    <t>TXN-037</t>
  </si>
  <si>
    <t>2026-02-10</t>
  </si>
  <si>
    <t>TXN-038</t>
  </si>
  <si>
    <t>2026-03-11</t>
  </si>
  <si>
    <t>TXN-039</t>
  </si>
  <si>
    <t>2026-04-12</t>
  </si>
  <si>
    <t>TXN-040</t>
  </si>
  <si>
    <t>2026-05-13</t>
  </si>
  <si>
    <t>TXN-041</t>
  </si>
  <si>
    <t>2026-06-14</t>
  </si>
  <si>
    <t>TXN-042</t>
  </si>
  <si>
    <t>2026-01-15</t>
  </si>
  <si>
    <t>TXN-043</t>
  </si>
  <si>
    <t>2026-02-16</t>
  </si>
  <si>
    <t>TXN-044</t>
  </si>
  <si>
    <t>2026-03-17</t>
  </si>
  <si>
    <t>TXN-045</t>
  </si>
  <si>
    <t>2026-04-18</t>
  </si>
  <si>
    <t>TXN-046</t>
  </si>
  <si>
    <t>2026-05-19</t>
  </si>
  <si>
    <t>TXN-047</t>
  </si>
  <si>
    <t>2026-06-20</t>
  </si>
  <si>
    <t>TXN-048</t>
  </si>
  <si>
    <t>2026-01-21</t>
  </si>
  <si>
    <t>TXN-049</t>
  </si>
  <si>
    <t>2026-02-22</t>
  </si>
  <si>
    <t>TXN-050</t>
  </si>
  <si>
    <t>2026-03-23</t>
  </si>
  <si>
    <t>TXN-051</t>
  </si>
  <si>
    <t>2026-04-24</t>
  </si>
  <si>
    <t>TXN-052</t>
  </si>
  <si>
    <t>2026-05-25</t>
  </si>
  <si>
    <t>TXN-053</t>
  </si>
  <si>
    <t>2026-06-26</t>
  </si>
  <si>
    <t>TXN-054</t>
  </si>
  <si>
    <t>2026-01-27</t>
  </si>
  <si>
    <t>TXN-055</t>
  </si>
  <si>
    <t>2026-02-28</t>
  </si>
  <si>
    <t>TXN-056</t>
  </si>
  <si>
    <t>2026-03-01</t>
  </si>
  <si>
    <t>TXN-057</t>
  </si>
  <si>
    <t>2026-04-02</t>
  </si>
  <si>
    <t>TXN-058</t>
  </si>
  <si>
    <t>2026-05-03</t>
  </si>
  <si>
    <t>TXN-059</t>
  </si>
  <si>
    <t>2026-06-04</t>
  </si>
  <si>
    <t>TXN-060</t>
  </si>
  <si>
    <t>2026-01-05</t>
  </si>
  <si>
    <t>TXN-061</t>
  </si>
  <si>
    <t>2026-02-06</t>
  </si>
  <si>
    <t>TXN-062</t>
  </si>
  <si>
    <t>2026-03-07</t>
  </si>
  <si>
    <t>TXN-063</t>
  </si>
  <si>
    <t>2026-04-08</t>
  </si>
  <si>
    <t>TXN-064</t>
  </si>
  <si>
    <t>2026-05-09</t>
  </si>
  <si>
    <t>TXN-065</t>
  </si>
  <si>
    <t>2026-06-10</t>
  </si>
  <si>
    <t>TXN-066</t>
  </si>
  <si>
    <t>2026-01-11</t>
  </si>
  <si>
    <t>TXN-067</t>
  </si>
  <si>
    <t>2026-02-12</t>
  </si>
  <si>
    <t>TXN-068</t>
  </si>
  <si>
    <t>2026-03-13</t>
  </si>
  <si>
    <t>TXN-069</t>
  </si>
  <si>
    <t>2026-04-14</t>
  </si>
  <si>
    <t>TXN-070</t>
  </si>
  <si>
    <t>2026-05-15</t>
  </si>
  <si>
    <t>TXN-071</t>
  </si>
  <si>
    <t>2026-06-16</t>
  </si>
  <si>
    <t>TXN-072</t>
  </si>
  <si>
    <t>2026-01-17</t>
  </si>
  <si>
    <t>TXN-073</t>
  </si>
  <si>
    <t>2026-02-18</t>
  </si>
  <si>
    <t>TXN-074</t>
  </si>
  <si>
    <t>2026-03-19</t>
  </si>
  <si>
    <t>TXN-075</t>
  </si>
  <si>
    <t>2026-04-20</t>
  </si>
  <si>
    <t>TXN-076</t>
  </si>
  <si>
    <t>2026-05-21</t>
  </si>
  <si>
    <t>TXN-077</t>
  </si>
  <si>
    <t>2026-06-22</t>
  </si>
  <si>
    <t>TXN-078</t>
  </si>
  <si>
    <t>2026-01-23</t>
  </si>
  <si>
    <t>TXN-079</t>
  </si>
  <si>
    <t>2026-02-24</t>
  </si>
  <si>
    <t>TXN-080</t>
  </si>
  <si>
    <t>2026-03-25</t>
  </si>
  <si>
    <t>TXN-081</t>
  </si>
  <si>
    <t>2026-04-26</t>
  </si>
  <si>
    <t>TXN-082</t>
  </si>
  <si>
    <t>2026-05-27</t>
  </si>
  <si>
    <t>TXN-083</t>
  </si>
  <si>
    <t>2026-06-28</t>
  </si>
  <si>
    <t>TXN-084</t>
  </si>
  <si>
    <t>2026-01-01</t>
  </si>
  <si>
    <t>TXN-085</t>
  </si>
  <si>
    <t>TXN-086</t>
  </si>
  <si>
    <t>TXN-087</t>
  </si>
  <si>
    <t>TXN-088</t>
  </si>
  <si>
    <t>TXN-089</t>
  </si>
  <si>
    <t>TXN-090</t>
  </si>
  <si>
    <t>TXN-091</t>
  </si>
  <si>
    <t>TXN-092</t>
  </si>
  <si>
    <t>TXN-093</t>
  </si>
  <si>
    <t>TXN-094</t>
  </si>
  <si>
    <t>TXN-095</t>
  </si>
  <si>
    <t>TXN-096</t>
  </si>
  <si>
    <t>TXN-097</t>
  </si>
  <si>
    <t>TXN-098</t>
  </si>
  <si>
    <t>TXN-099</t>
  </si>
  <si>
    <t>TXN-100</t>
  </si>
  <si>
    <t>TXN-101</t>
  </si>
  <si>
    <t>TXN-102</t>
  </si>
  <si>
    <t>TXN-103</t>
  </si>
  <si>
    <t>TXN-104</t>
  </si>
  <si>
    <t>TXN-105</t>
  </si>
  <si>
    <t>TXN-106</t>
  </si>
  <si>
    <t>TXN-107</t>
  </si>
  <si>
    <t>TXN-108</t>
  </si>
  <si>
    <t>TXN-109</t>
  </si>
  <si>
    <t>TXN-110</t>
  </si>
  <si>
    <t>TXN-111</t>
  </si>
  <si>
    <t>TXN-112</t>
  </si>
  <si>
    <t>TXN-113</t>
  </si>
  <si>
    <t>TXN-114</t>
  </si>
  <si>
    <t>TXN-115</t>
  </si>
  <si>
    <t>TXN-116</t>
  </si>
  <si>
    <t>TXN-117</t>
  </si>
  <si>
    <t>TXN-118</t>
  </si>
  <si>
    <t>TXN-119</t>
  </si>
  <si>
    <t>TXN-120</t>
  </si>
  <si>
    <t>TXN-121</t>
  </si>
  <si>
    <t>TXN-122</t>
  </si>
  <si>
    <t>TXN-123</t>
  </si>
  <si>
    <t>TXN-124</t>
  </si>
  <si>
    <t>TXN-125</t>
  </si>
  <si>
    <t>TXN-126</t>
  </si>
  <si>
    <t>TXN-127</t>
  </si>
  <si>
    <t>TXN-128</t>
  </si>
  <si>
    <t>TXN-129</t>
  </si>
  <si>
    <t>TXN-130</t>
  </si>
  <si>
    <t>TXN-131</t>
  </si>
  <si>
    <t>TXN-132</t>
  </si>
  <si>
    <t>TXN-133</t>
  </si>
  <si>
    <t>TXN-134</t>
  </si>
  <si>
    <t>TXN-135</t>
  </si>
  <si>
    <t>TXN-136</t>
  </si>
  <si>
    <t>TXN-137</t>
  </si>
  <si>
    <t>TXN-138</t>
  </si>
  <si>
    <t>TXN-139</t>
  </si>
  <si>
    <t>TXN-140</t>
  </si>
  <si>
    <t>TXN-141</t>
  </si>
  <si>
    <t>TXN-142</t>
  </si>
  <si>
    <t>TXN-143</t>
  </si>
  <si>
    <t>TXN-144</t>
  </si>
  <si>
    <t>TXN-145</t>
  </si>
  <si>
    <t>TXN-146</t>
  </si>
  <si>
    <t>TXN-147</t>
  </si>
  <si>
    <t>TXN-148</t>
  </si>
  <si>
    <t>TXN-149</t>
  </si>
  <si>
    <t>TXN-150</t>
  </si>
  <si>
    <t>TXN-151</t>
  </si>
  <si>
    <t>TXN-152</t>
  </si>
  <si>
    <t>TXN-153</t>
  </si>
  <si>
    <t>TXN-154</t>
  </si>
  <si>
    <t>TXN-155</t>
  </si>
  <si>
    <t>TXN-156</t>
  </si>
  <si>
    <t>TXN-157</t>
  </si>
  <si>
    <t>TXN-158</t>
  </si>
  <si>
    <t>TXN-159</t>
  </si>
  <si>
    <t>TXN-160</t>
  </si>
  <si>
    <t>TXN-161</t>
  </si>
  <si>
    <t>TXN-162</t>
  </si>
  <si>
    <t>TXN-163</t>
  </si>
  <si>
    <t>TXN-164</t>
  </si>
  <si>
    <t>TXN-165</t>
  </si>
  <si>
    <t>TXN-166</t>
  </si>
  <si>
    <t>TXN-167</t>
  </si>
  <si>
    <t>TXN-168</t>
  </si>
  <si>
    <t>TXN-169</t>
  </si>
  <si>
    <t>TXN-170</t>
  </si>
  <si>
    <t>TXN-171</t>
  </si>
  <si>
    <t>TXN-172</t>
  </si>
  <si>
    <t>TXN-173</t>
  </si>
  <si>
    <t>TXN-174</t>
  </si>
  <si>
    <t>TXN-175</t>
  </si>
  <si>
    <t>TXN-176</t>
  </si>
  <si>
    <t>TXN-177</t>
  </si>
  <si>
    <t>TXN-178</t>
  </si>
  <si>
    <t>TXN-179</t>
  </si>
  <si>
    <t>TXN-180</t>
  </si>
  <si>
    <t>TXN-181</t>
  </si>
  <si>
    <t>TXN-182</t>
  </si>
  <si>
    <t>TXN-183</t>
  </si>
  <si>
    <t>TXN-184</t>
  </si>
  <si>
    <t>TXN-185</t>
  </si>
  <si>
    <t>TXN-186</t>
  </si>
  <si>
    <t>TXN-187</t>
  </si>
  <si>
    <t>TXN-188</t>
  </si>
  <si>
    <t>TXN-189</t>
  </si>
  <si>
    <t>TXN-190</t>
  </si>
  <si>
    <t>TXN-191</t>
  </si>
  <si>
    <t>TXN-192</t>
  </si>
  <si>
    <t>TXN-193</t>
  </si>
  <si>
    <t>TXN-194</t>
  </si>
  <si>
    <t>TXN-195</t>
  </si>
  <si>
    <t>TXN-196</t>
  </si>
  <si>
    <t>TXN-197</t>
  </si>
  <si>
    <t>TXN-198</t>
  </si>
  <si>
    <t>TXN-199</t>
  </si>
  <si>
    <t>TXN-200</t>
  </si>
  <si>
    <t>NEXACORE RETAIL — KPI Definition Exercise</t>
  </si>
  <si>
    <t>AI cannot define your KPIs for you. This is your job. Read the business context below and define which metrics matter — and why.</t>
  </si>
  <si>
    <t>BUSINESS CONTEXT</t>
  </si>
  <si>
    <t>Nexacore Retail operates across 4 regions in the US — North, South, East, West.</t>
  </si>
  <si>
    <t>They sell 5 product categories: Electronics, Clothing, Home Appliances, Beauty, and Sports.</t>
  </si>
  <si>
    <t>They have 12 sales reps each assigned to a specific region.</t>
  </si>
  <si>
    <t>They serve 3 customer segments: Premium, Standard, and Budget.</t>
  </si>
  <si>
    <t>The CEO wants a monthly performance dashboard and needs to know which numbers to watch.</t>
  </si>
  <si>
    <t>The Sales Director wants to know which reps are underperforming before the next quarter.</t>
  </si>
  <si>
    <t>The Product Manager wants to know which categories are growing and which are declining.</t>
  </si>
  <si>
    <t>The Finance team wants to track revenue targets and margin performance.</t>
  </si>
  <si>
    <t>YOUR KPI DEFINITIONS — Fill in every yellow cell. No AI. Your own thinking.</t>
  </si>
  <si>
    <t>KPI Name</t>
  </si>
  <si>
    <t>What it measures</t>
  </si>
  <si>
    <t>Why it matters to the business</t>
  </si>
  <si>
    <t>Which stakeholder needs it</t>
  </si>
  <si>
    <t>How to calculate it</t>
  </si>
  <si>
    <t>Good or bad if it increases?</t>
  </si>
  <si>
    <t>Total Revenue</t>
  </si>
  <si>
    <t>Write your answer here</t>
  </si>
  <si>
    <t>Revenue per Sales Rep</t>
  </si>
  <si>
    <t>Top Performing Region</t>
  </si>
  <si>
    <t>Category Return Rate</t>
  </si>
  <si>
    <t>Average Order Value</t>
  </si>
  <si>
    <t>Month over Month Growth</t>
  </si>
  <si>
    <t>Revenue by Customer Segment</t>
  </si>
  <si>
    <t>Underperforming Products</t>
  </si>
  <si>
    <t>Define your own KPI here</t>
  </si>
  <si>
    <t>REMEMBER: A KPI is only useful if it leads to a decision. If knowing this number does not change what the business does — it is not a KPI, it is just a metric.</t>
  </si>
  <si>
    <t>NEXACORE RETAIL — Pivot Table Practice Tasks</t>
  </si>
  <si>
    <t>Create each Pivot Table from the Sales Data sheet. Insert → PivotTable → Select Sales Data range → Place in a new sheet or below each task.</t>
  </si>
  <si>
    <t>PT1 — BASIC</t>
  </si>
  <si>
    <t>Pivot Name</t>
  </si>
  <si>
    <t>Revenue by Region</t>
  </si>
  <si>
    <t>Setup</t>
  </si>
  <si>
    <t>Rows: Region | Values: Sum of Revenue</t>
  </si>
  <si>
    <t>Business Q</t>
  </si>
  <si>
    <t>Chart Type</t>
  </si>
  <si>
    <t>Bar Chart — sorted highest to lowest</t>
  </si>
  <si>
    <t>PT2 — BASIC</t>
  </si>
  <si>
    <t>Revenue by Product Category</t>
  </si>
  <si>
    <t>Rows: Category | Values: Sum of Revenue</t>
  </si>
  <si>
    <t>Which product category drives the most revenue? Which is consistently underperforming?</t>
  </si>
  <si>
    <t>Pie Chart — show percentage share</t>
  </si>
  <si>
    <t>PT3 — INTERMEDIATE</t>
  </si>
  <si>
    <t>Revenue by Sales Rep</t>
  </si>
  <si>
    <t>Rows: Sales Rep | Values: Sum of Revenue | Sort: Largest to Smallest</t>
  </si>
  <si>
    <t>Who are the top 3 performers? Who are the bottom 3? What is the gap between them?</t>
  </si>
  <si>
    <t>Bar Chart — sorted to show ranking clearly</t>
  </si>
  <si>
    <t>PT4 — INTERMEDIATE</t>
  </si>
  <si>
    <t>Monthly Revenue Trend</t>
  </si>
  <si>
    <t>Rows: Month | Values: Sum of Revenue</t>
  </si>
  <si>
    <t>Is revenue growing month over month? Which month had the sharpest drop or spike?</t>
  </si>
  <si>
    <t>Line Chart — shows trend direction</t>
  </si>
  <si>
    <t>PT5 — INTERMEDIATE</t>
  </si>
  <si>
    <t>Revenue by Region AND Category</t>
  </si>
  <si>
    <t>Rows: Region | Columns: Category | Values: Sum of Revenue</t>
  </si>
  <si>
    <t>Which category performs best in each region? Are there regional strengths and weaknesses?</t>
  </si>
  <si>
    <t>Heatmap using Conditional Formatting on the pivot output</t>
  </si>
  <si>
    <t>PT6 — ADVANCED</t>
  </si>
  <si>
    <t>Revenue by Customer Segment by Month</t>
  </si>
  <si>
    <t>Rows: Month | Columns: Customer Segment | Values: Sum of Revenue</t>
  </si>
  <si>
    <t>Is Premium segment growing faster than Budget? Which segment is most consistent?</t>
  </si>
  <si>
    <t>Line Chart with 3 lines — one per segment</t>
  </si>
  <si>
    <t>PT7 — ADVANCED</t>
  </si>
  <si>
    <t>Average Order Value by Sales Rep and Region</t>
  </si>
  <si>
    <t>Rows: Region | Values: Average of Revenue — NOT Sum</t>
  </si>
  <si>
    <t>Which region has the highest average deal size? Does a rep with fewer orders have higher average value?</t>
  </si>
  <si>
    <t>Bar Chart — compare average not total</t>
  </si>
  <si>
    <t>PT8 — ADVANCED</t>
  </si>
  <si>
    <t>Units Sold vs Revenue by Category</t>
  </si>
  <si>
    <t>Rows: Category | Values: Sum of Units Sold AND Sum of Revenue side by side</t>
  </si>
  <si>
    <t>Does high unit volume always mean high revenue? Which category has low volume but high revenue per unit?</t>
  </si>
  <si>
    <t>Combo Chart — bars for units, line for revenue</t>
  </si>
  <si>
    <t>NEXACORE RETAIL — Conditional Formatting Practice</t>
  </si>
  <si>
    <t>Apply each rule to the Sales Data sheet or your Pivot Table outputs. Conditional Formatting lives under the Home tab.</t>
  </si>
  <si>
    <t>CF1 — BASIC</t>
  </si>
  <si>
    <t>Task</t>
  </si>
  <si>
    <t>Highlight Top 10 Revenue Transactions</t>
  </si>
  <si>
    <t>Steps</t>
  </si>
  <si>
    <t>Select Revenue column in Sales Data. Home → Conditional Formatting → Top/Bottom Rules → Top 10 Items. Color: Green fill.</t>
  </si>
  <si>
    <t>Why</t>
  </si>
  <si>
    <t>Instantly shows which transactions drove the most revenue. No formula needed.</t>
  </si>
  <si>
    <t>Answer this</t>
  </si>
  <si>
    <t>What percentage of total revenue do the top 10 transactions represent?</t>
  </si>
  <si>
    <t>CF2 — BASIC</t>
  </si>
  <si>
    <t>Highlight Bottom 10 Revenue Transactions</t>
  </si>
  <si>
    <t>Same column. Bottom 10 Items. Color: Red fill.</t>
  </si>
  <si>
    <t>Identifies your lowest value transactions. Are they concentrated in one category or region?</t>
  </si>
  <si>
    <t>Are the bottom 10 all from one region or spread across all four?</t>
  </si>
  <si>
    <t>CF3 — INTERMEDIATE</t>
  </si>
  <si>
    <t>Color Scale on Revenue Column</t>
  </si>
  <si>
    <t>Select Revenue column. Conditional Formatting → Color Scales → Green-Yellow-Red. Green = high, Red = low.</t>
  </si>
  <si>
    <t>Creates a visual heat map of transaction values. Pattern recognition without reading numbers.</t>
  </si>
  <si>
    <t>Which rows have the most green? Which have the most red? What do they have in common?</t>
  </si>
  <si>
    <t>CF4 — INTERMEDIATE</t>
  </si>
  <si>
    <t>Data Bars on Units Sold Column</t>
  </si>
  <si>
    <t>Select Units Sold column. Conditional Formatting → Data Bars → Blue fill.</t>
  </si>
  <si>
    <t>Each cell shows a bar proportional to its value. Instantly see quantity distribution.</t>
  </si>
  <si>
    <t>Which product categories consistently have longer bars?</t>
  </si>
  <si>
    <t>CF5 — INTERMEDIATE</t>
  </si>
  <si>
    <t>Highlight All Electronics Rows</t>
  </si>
  <si>
    <t>Select entire dataset rows 4 to 203. Conditional Formatting → New Rule → Use formula. Formula: =$F4='Electronics'. Color: Light blue fill.</t>
  </si>
  <si>
    <t>Highlights every Electronics transaction across the entire dataset at once.</t>
  </si>
  <si>
    <t>How does the Electronics row density compare visually to other categories?</t>
  </si>
  <si>
    <t>CF6 — ADVANCED</t>
  </si>
  <si>
    <t>Flag Revenue Below 200 as Red</t>
  </si>
  <si>
    <t>Select Revenue column. New Rule → Format cells that contain → Cell Value less than 200. Red fill.</t>
  </si>
  <si>
    <t>Immediately identifies low value transactions that may not justify shipping or service costs.</t>
  </si>
  <si>
    <t>How many transactions fall below 200? Which category has the most?</t>
  </si>
  <si>
    <t>CF7 — ADVANCED</t>
  </si>
  <si>
    <t>Flag Premium Segment Rows in Gold</t>
  </si>
  <si>
    <t>Select entire dataset. New Rule → Formula: =$K4='Premium'. Gold fill.</t>
  </si>
  <si>
    <t>Highlights all Premium customer transactions. Useful for understanding your highest value segment.</t>
  </si>
  <si>
    <t>Are Premium customers concentrated in specific regions or buying specific categories?</t>
  </si>
  <si>
    <t>CF8 — ADVANCED</t>
  </si>
  <si>
    <t>Icon Sets on Pivot Table Revenue Output</t>
  </si>
  <si>
    <t>After creating PT3 Sales Rep ranking. Select the revenue column. Conditional Formatting → Icon Sets → 3 Arrows. Green up arrow = top third, Yellow = middle, Red down = bottom third.</t>
  </si>
  <si>
    <t>Turns numbers into visual performance signals. A CFO reads arrows faster than numbers.</t>
  </si>
  <si>
    <t>Which reps have red arrows? Do they share a region or category focus?</t>
  </si>
  <si>
    <t>NEXACORE RETAIL — Slicers Practice</t>
  </si>
  <si>
    <t>Slicers are visual filters connected to Pivot Tables. They let anyone filter data by clicking buttons instead of using dropdowns.</t>
  </si>
  <si>
    <t>HOW TO ADD A SLICER</t>
  </si>
  <si>
    <t>Step 1: Create a Pivot Table first. Slicers attach to Pivot Tables.</t>
  </si>
  <si>
    <t>Step 2: Click anywhere inside the Pivot Table to select it.</t>
  </si>
  <si>
    <t>Step 3: Go to PivotTable Analyze tab (appears when Pivot Table is selected).</t>
  </si>
  <si>
    <t>Step 4: Click Insert Slicer.</t>
  </si>
  <si>
    <t>Step 5: Tick the fields you want as slicer buttons — Region, Category, Month, Sales Rep.</t>
  </si>
  <si>
    <t>Step 6: Click OK. Slicers appear as floating panels on your sheet.</t>
  </si>
  <si>
    <t>Step 7: Click any button on the slicer to filter your Pivot Table instantly.</t>
  </si>
  <si>
    <t>Step 8: Hold Ctrl and click multiple buttons to select more than one filter at once.</t>
  </si>
  <si>
    <t>Step 9: Click the X button on the slicer to clear all filters.</t>
  </si>
  <si>
    <t>SLICER TASKS — Complete these after building your Pivot Tables</t>
  </si>
  <si>
    <t>ST1 — Add Region and Category slicers to PT2</t>
  </si>
  <si>
    <t>Question: Filter to Electronics only. What is the revenue? Now filter to South region only. How does Electronics perform in South specifically?</t>
  </si>
  <si>
    <t>Why this matters: Slicers make cross-filtering instant. This question needs two slicers working together.</t>
  </si>
  <si>
    <t>ST2 — Add Month and Sales Rep slicers to PT3</t>
  </si>
  <si>
    <t>Question: Filter to January only. Who was the top performer in January? Now switch to March. Did the ranking change?</t>
  </si>
  <si>
    <t>Why this matters: Monthly slicer on a rep ranking shows performance consistency vs one-off peaks.</t>
  </si>
  <si>
    <t>ST3 — Add Customer Segment slicer to PT1</t>
  </si>
  <si>
    <t>Question: Filter to Premium segment only. Which region has the most Premium customers? How does this compare to Budget segment by region?</t>
  </si>
  <si>
    <t>Why this matters: Segment slicer reveals whether regions attract different customer types.</t>
  </si>
  <si>
    <t>ST4 — Connect one slicer to multiple Pivot Tables</t>
  </si>
  <si>
    <t>Question: Create PT1 and PT2 on the same sheet. Add a Region slicer. Right click the slicer and select Report Connections. Connect it to both pivot tables. Now filtering by region updates both charts simultaneously.</t>
  </si>
  <si>
    <t>Why this matters: This is how real dashboards work. One filter controls multiple visualizations.</t>
  </si>
  <si>
    <t>ST5 — Add Timeline slicer for Month filtering</t>
  </si>
  <si>
    <t>Question: Click Pivot Table. PivotTable Analyze → Insert Timeline → Select Date field. A timeline bar appears. Drag to select specific months. This is more visual than a standard slicer for date filtering.</t>
  </si>
  <si>
    <t>Why this matters: Timeline slicers are specifically for date fields. More intuitive for time-based analysis.</t>
  </si>
  <si>
    <t>NEXACORE RETAIL — Sales Dashboard Mini Project Brief</t>
  </si>
  <si>
    <t>This is your Week 4 mini project. Build a complete executive Sales Dashboard that answers real business questions using Pivot Tables, Charts, Slicers, and Conditional Formatting.</t>
  </si>
  <si>
    <t>THE SCENARIO</t>
  </si>
  <si>
    <t>The CEO of Nexacore Retail has called a quarterly review meeting in 48 hours.</t>
  </si>
  <si>
    <t>She wants a single dashboard that tells her everything she needs to know about sales performance.</t>
  </si>
  <si>
    <t>She is not technical. She reads charts not tables. She makes decisions in under 30 seconds per slide.</t>
  </si>
  <si>
    <t>Your job is to build that dashboard — clean, clear, and immediately actionable.</t>
  </si>
  <si>
    <t>Every visual must answer a specific business question. No decorative charts.</t>
  </si>
  <si>
    <t>DASHBOARD REQUIREMENTS</t>
  </si>
  <si>
    <t>R1 — KPI Summary Row</t>
  </si>
  <si>
    <t>At the top of the dashboard show 4 KPI boxes: Total Revenue, Total Units Sold, Top Region, Top Sales Rep.</t>
  </si>
  <si>
    <t>Answers</t>
  </si>
  <si>
    <t>Use SUMIF, COUNTIF, INDEX MATCH, and MAX formulas — not Pivot Tables — for these numbers.</t>
  </si>
  <si>
    <t>Note</t>
  </si>
  <si>
    <t>This tests whether you can combine Week 3 and Week 4 skills together.</t>
  </si>
  <si>
    <t>R2 — Revenue by Region Chart</t>
  </si>
  <si>
    <t>Bar chart from PT1. Sorted highest to lowest. Color coded using Conditional Formatting.</t>
  </si>
  <si>
    <t>Answers: Where is Nexacore strongest? Where is it weakest?</t>
  </si>
  <si>
    <t>Must have a clear title that states the business insight not just the data.</t>
  </si>
  <si>
    <t>R3 — Monthly Revenue Trend Chart</t>
  </si>
  <si>
    <t>Line chart from PT4. Show 6 months. Add a trendline.</t>
  </si>
  <si>
    <t>Answers: Is the business growing or declining? Where was the sharpest change?</t>
  </si>
  <si>
    <t>The CEO must be able to see the direction in under 5 seconds.</t>
  </si>
  <si>
    <t>R4 — Category Performance Chart</t>
  </si>
  <si>
    <t>Bar or Pie chart from PT2. Show revenue AND units side by side or in separate charts.</t>
  </si>
  <si>
    <t>Answers: Which category should get more investment? Which is underperforming?</t>
  </si>
  <si>
    <t>High units but low revenue means low price point. High revenue but low units means premium product.</t>
  </si>
  <si>
    <t>R5 — Sales Rep Ranking Table</t>
  </si>
  <si>
    <t>Pivot Table PT3 with Icon Sets applied. Top 3 highlighted green. Bottom 3 highlighted red.</t>
  </si>
  <si>
    <t>Answers: Who needs coaching? Who deserves recognition?</t>
  </si>
  <si>
    <t>This is a sensitive table. Make sure the visual is clear but not unnecessarily harsh.</t>
  </si>
  <si>
    <t>R6 — Interactive Slicers</t>
  </si>
  <si>
    <t>Add slicers for Region, Category, and Month connected to all charts on the dashboard.</t>
  </si>
  <si>
    <t>The CEO must be able to filter everything by clicking one button.</t>
  </si>
  <si>
    <t>This is what separates a static report from an interactive dashboard.</t>
  </si>
  <si>
    <t>HOW TO JUDGE YOUR OWN DASHBOARD</t>
  </si>
  <si>
    <t>Can the CEO understand the story in under 30 seconds without explanation?</t>
  </si>
  <si>
    <t>Does every chart answer a specific named business question?</t>
  </si>
  <si>
    <t>Are your KPI numbers accurate? Test them manually with SUMIF.</t>
  </si>
  <si>
    <t>Do the slicers actually control all charts or just one?</t>
  </si>
  <si>
    <t>Is the color usage intentional? Red for bad, green for good — consistently?</t>
  </si>
  <si>
    <t>Would you be comfortable presenting this in a real meeting?</t>
  </si>
  <si>
    <t>Week 4 — AI Audit Log</t>
  </si>
  <si>
    <t>Give each task to AI first. Record what it produced, what was wrong, and what you had to correct.</t>
  </si>
  <si>
    <t>AUDIT 1 — Ask AI to define KPIs for Nexacore. Compare its list to yours.</t>
  </si>
  <si>
    <t>Task given to AI</t>
  </si>
  <si>
    <t>Exact output AI produced</t>
  </si>
  <si>
    <t>Was AI correct? Yes / No / Partially</t>
  </si>
  <si>
    <t>What was wrong or missing</t>
  </si>
  <si>
    <t>Error type: KPI logic / Formula / Chart choice / Layout / Conceptual</t>
  </si>
  <si>
    <t>How you caught it</t>
  </si>
  <si>
    <t>What this reveals about AI limitations in business context</t>
  </si>
  <si>
    <t>AUDIT 2 — Ask AI to set up PT5 Region x Category pivot. Did it get the layout right?</t>
  </si>
  <si>
    <t>AUDIT 3 — Ask AI to write formulas for the KPI Summary Row in the dashboard.</t>
  </si>
  <si>
    <t>AUDIT 4 — Ask AI which chart types to use for each Pivot Table. Does it justify its choices?</t>
  </si>
  <si>
    <t>AUDIT 5 — Ask AI to design the dashboard layout. Does it account for the CEO's perspective?</t>
  </si>
  <si>
    <t>AUDIT 6 — Ask AI to explain what Slicers are. Is its explanation accurate and complete?</t>
  </si>
  <si>
    <t>Row Labels</t>
  </si>
  <si>
    <t>Grand Total</t>
  </si>
  <si>
    <t>Sum of Revenue ($)</t>
  </si>
  <si>
    <t>Column Labels</t>
  </si>
  <si>
    <t>Average of Revenue ($)</t>
  </si>
  <si>
    <t>Sum of Units Sold</t>
  </si>
  <si>
    <t>Which region generates the most revenue? Is there a significant gap between top and bottom</t>
  </si>
  <si>
    <t>Business Insight</t>
  </si>
  <si>
    <t>North has genrated most revenue by hitting $39,435 in revenue missing our second top target $40,000 by 1.4% in revenue by $565, whereas south and west are performing significantly low not even close to our third top target $30,00 and even missing second target $20,000 by 7.18% - 6.83% in revenue by $1,437 - $1,366. Conclusion: there is significant need to analyse south and west's perfomance in detail and form a strategy according analysis</t>
  </si>
  <si>
    <t>Sports has gained the most significant revenue by achieving $47,108 in revenue whereas Beauty is Significantly underperforming by just $3,291 in revenue even gaining 50.83% less revenue from the second most least performing category. Conclusion: Beauty category needs further in detail analysis, analysing its performance per region if any specific region is underperforming we would need to either reform the category according to that region demographics or withdraw the category from that region if the entire category is underperfoming in every region we really need to reform the category and form strategies that can give minimum 60% - 70% growth posibility per region.</t>
  </si>
  <si>
    <t>James Wilson, David Lee, Joshua Jackson are the top 3 performers on very top there is James Wilson with an exellent performance with $21,504 in revenue by sales rep crossing fourth target $20,000 and completing fifth target $25,000 by 30.08% then there is David Lee with $20,626 in revenue crossing fourth target and completing fifth target by 12.52% then there is Joshua Jackson crossing second target $10,000 by completing $10,997 in revenue and completing third target $15,000 by 19.94%</t>
  </si>
  <si>
    <t>Revenue Trend all time is down right now means revenue is decreasing over the time, january had all time high with $42,130 in revenue in feburary revenue dropped by 49.91% considering the most sharpest drop of all time dropping $21,029 in revenue, feburary to march revenue trend was also down dropping by 11.53% from previous month and 55.69% from all time high april got the most lowest point with $7,129 in revenue dropping by 61.80% from previous month considering the all time low whereas in may the revenue is increased by 58.62% with $17,230 in revenue considering the sharpest spike yet, then june went down again closing $8,967 in revenue by 47.96%. Conclusion: The january has the sharpest drop ending on april constantly revenue dropping by 83.07% then april has the most sharpest spike yet but not strong. Seasonal analysis is needed in detail and a strong strategy according to the seasonal analysis.</t>
  </si>
  <si>
    <t>It isn't always neccesary that high unit volume mean high revenue each unit price depends. Electronics has low volume but high revenue.</t>
  </si>
  <si>
    <t>Sports has performed best in north and east and Electronics in south and west. south and west are weakend as compare to north and east whereas beauty is underperforming in every region in north and east sports is most high performing one but in south and west it is second highest performer but performing lower than the north and east region by around 70.10% electronics performing most highest in south and west region but as like sports lower from the north and east. conclusion: north and east needs detailed category analysis with demographics and a strategy to increase categories performence like sports, home appliances, clothing, beauty and beauty specifically needs a strong strategy and in detail products analysis in beauty in some case there is a significant posibility to withdraw or completely reform the category from every region.</t>
  </si>
  <si>
    <t>North has highest average revenue by 788.7 average.</t>
  </si>
  <si>
    <t>Premium is significantly growing faster than budget. Standard is significantly more consistant than premium and budget customers prefers standard more than premium and budget, there is also a similar pattern noticed in standard and budget in january standard and budget both are dead. conclusion: customer segment needs seasonal analysis in detail.</t>
  </si>
  <si>
    <t>Insight</t>
  </si>
  <si>
    <t>The top 10 transaction represent 82.5087005198615% of total revenue. Process: apply conditional formating to the revenue column turn top 10 cells green then filter by colour get the sum of top 10 revenue transaction remove the filter get the sum of revenue then devide sum of top 10 revenue transactions with sum of revenue then multiply it with 100 you get the percentage of top 10 revenue transactions to the sum of revenue.</t>
  </si>
  <si>
    <t>The bottom 10 transactions are spread across all four regions.</t>
  </si>
  <si>
    <t>Most green only has premium category, most red has only standard category and they all are in february there is a pattern noticed some categories returning most red in a specific month. Conclusion: some categories are not performing in specific months and some are only performing in specific months.</t>
  </si>
  <si>
    <t>Standard has more consistent longer bars.</t>
  </si>
  <si>
    <t>Electronics row is as dense as other categories there is one electronics row after every 4 rows.</t>
  </si>
  <si>
    <t>There are 198 transactions those fall below 200 every 66 transactions fall below 200 in every category.</t>
  </si>
  <si>
    <t>Premium customers are spread across every region and every category. Conclusion: Premium customers only buys in january and april we need to introduce more products in january and april according to season in premium sagement.</t>
  </si>
  <si>
    <t>Ashley White, Emily Davis, Amanda Thomas have red arrows, up, down, midddle arrows are spread across all regions.</t>
  </si>
  <si>
    <t>It measures the overall revenue across 6 months overall revenue across all categories and all regions inshort this indicates overall revenue growth of Nexacore.</t>
  </si>
  <si>
    <t>sum the entire revenue of business over past months.</t>
  </si>
  <si>
    <t>Investor needs to have idea of Total revenue of business so that he can look over how his investment is doing or he can scale or increase his investment more if anyone who is intereseted in investing he also needs this he will get know is it safe to invest in business and according to business growth he will get idea what amount of investment will be fine, CEO needs it to look over how much business has gained then he will take discisions according to it, and finance team needs it to maintain a record of business return.</t>
  </si>
  <si>
    <t>it is good if it increases, gradually very less but in some cases revenue increasing in unnatural way could be because of some suspecious causes.</t>
  </si>
  <si>
    <t>It measures how good a sales rep has performed, it trackes sales rep performance.</t>
  </si>
  <si>
    <t>every business has their target or goal to achieve it defines if business has reached the goal or not if yes then how much it has scaled more than goal if not then how it has missed the target or goal by percentage or target revenue either it is too low it needs strategy reform and in detail analysis it can also matters to finance department to calculate share in revenue for each shareholder inshort it can matter in varies ways some of which i have mentioned above. Nexacore's Total revenue is $115,223. Whether it is good or not Whether it matters or not this can be decided to Nexacore's goal which is not provided. a general conclusion that Nexacore is opperating across four regions and having $115,223 in total revenue across 6 months looks very low.</t>
  </si>
  <si>
    <t>it can lead the business to focus on high performing sales rep then further business can form strategies and take some dicsions those will cause business growth like focusing to maintain a good relation with those high performing sales rep, appreciet them with anything to increase their confidence and making their bond with business more stronger and organizing training sessions which high sales rep would lead to increase performance of more sales rep and assigning them the tasks that a high performer would do best.                                        Revenue per sales rep of Nexacore matters in a way that high sales rep needs to be appreciate and assigned with the tasks those needs high sales rep and they can lead the trainings for underperforming sales rep, underperforming sales rep can be highlighted and business can focus on them specifically to make their performance more good by organizing training sessions for them and a bit harsh but if a sales rep is constantly underperforming and not growing business can withdraw them.</t>
  </si>
  <si>
    <t xml:space="preserve">setting up pivot table adding sales rep in row and sum of revenue in values </t>
  </si>
  <si>
    <t>it is good if it increases, but as like revenue unnatural spike or growth can because of some suspecious things like faking orders or spaming, very less but a real thing.</t>
  </si>
  <si>
    <t>it measures revenue by region</t>
  </si>
  <si>
    <t>north has performed highest in regions by gaining $39,435 in revenue whereas south and west has collectively gained $37,197 in revenue, south and west really needs demographic analysis in detail and regional analysis also.</t>
  </si>
  <si>
    <t>CEO needs this for taking discision about regional analysis and having an idea of how each region is performing, Product Research team needs this to research on regional demographics and only sorting top products or reforming products</t>
  </si>
  <si>
    <t>setting up pivot table adding region in row and sum of revenue in values</t>
  </si>
  <si>
    <t>it is really good if it increases specially for south and west, north and east is already scaled more if north and east will increase it will be also but it will lead the business to take serious discision about scaling business in that region.</t>
  </si>
  <si>
    <t>it measures revenue gained by each category.</t>
  </si>
  <si>
    <t>Product Research team needs this and CEO also needs this.</t>
  </si>
  <si>
    <t>setting up pivot table adding category in row and sum of revenue in values</t>
  </si>
  <si>
    <t>it is good and necessary if it increases</t>
  </si>
  <si>
    <t>it measures average of sum of revenue across past months</t>
  </si>
  <si>
    <t>average order value of Nexacore is 19203.83 we should look for what our compatitor's average order value look like then if we wanna grow we should take further steps to strategis reform the company to increase its performance. I guess we don't have anything in average order value to discuss that much in deep about from my perspective its just a matrics for Nexacore yet.</t>
  </si>
  <si>
    <t>CEO needs this and Finance department needs this.</t>
  </si>
  <si>
    <t>setting up pivot table adding month in rows and sum of revenue in values then taking average of sum of revenue.</t>
  </si>
  <si>
    <t>it can be good in some cases and in some cases can't because if average is increasing can mean that every month revenue is increasing which is good the average can also increase when just some of months are doing well and other are decreasing in revenue expanded overlook matters.</t>
  </si>
  <si>
    <t>it measures other performance of Nexacore by the revenue growing or decreasing month over month comparing each month's revenue with past months</t>
  </si>
  <si>
    <t>we had a solid growth in revenue in january gaining $42,130 in revenue in feburary it dropped by 49.91% in revenue $21,029 considering the second most sharpest drop in the entire six months then again in march revenue dropped by 11.53% from the past month and 55.69% from the all time high also considering the slightest drop in the six months from feburary to march then in april the sharpest drop happened gaining $7,129 in revenue dropping by 61.80% from the past month considering the most sharpest drop in the entire six months and 83.07% from the all time high business reaching its lowest point the all time low hypothetically considering the dangerous zone in any business may gained $17,230 in revenue growth happening by 58.62% from the last month considering the sharpest apike in the entire six months june gained $8,967 in revenue dropping by 47.76%. conclusion: the down trend started from january happening in february and continues for the rest of five months march had slightest drop after march the fluctuation started analysis not clearly indicating the reason. the seasonal analysis is required in detail with demographics and regional analyisis.</t>
  </si>
  <si>
    <t>CEO needs this to direct the teams and take discisions, Analysis team needs this if there is a saperate one if not then Product Research team needs this to analyse and research for the products according to the result of seasonal analysis and regional analysis and demographics, Finance department needs this to calculate risks and maintain an accountability bounderies.</t>
  </si>
  <si>
    <t>setting up pivot table adding month in rows and sum of revenue in values</t>
  </si>
  <si>
    <t>it is good if it increases and it really needs to be increased but at some point such as at the mid growth or in dangerous zone business needs to focus more on maintaining a middle flow as rappid action then focus on growth over all conclusion the increase in growth is good.</t>
  </si>
  <si>
    <t>It measure how much revenue each customer segment has gained in the past months</t>
  </si>
  <si>
    <t>Premium gained $42,130 in january and dropped to the $0 in februay and march dead for the complete two months constantly gaining 16.92% of its all time high then again gaining $0 in may and june sharpest drop happening in premium in the all customer segment gaining $49,259 in revenue in the entire six months and four months of dead, standard gained $0 in revenue in january then gaining $21,101 in revenue in february then again gaining $0 in march and april in may standard gained $17,230 and $0 in june standard gaining $38,331 in revenue in entire six months and four months of dead, budget gaining $0 in january and february then gaining $18,666 in revenue in march then again gaining $0 in april and may in june budget gained $8,967 in revenue budget gaining $27,633 in revenue in entire six months and four months of dead. conclusion: premium gained the most revenue than the standard and budget sharpest drop happening february revenue dropping from $42,130 to $0 somehow shows the customer interest instantly dropping in february looking at customer's behaivour and prefrences 97% of times customer choose premium for gifting, celebration, event or occasion the possible cause of premium gaining most revenue in january can be any event or occasion most possiblly christmas or new year but both happens in december so the event possiblity can't be fully applied on it so we move towards the other possiblities such as consistency of premium depends on any specific category that is seasonal but Nexacore's premium is spread across every category in january so this possiblity is also invalid seasonal analysis in detail is needed for more clarity and increasing premium performance across six months but from current analysis business can introduce more offers and new products in january and april as in these two months premium stands in high demand, standard can be focused on integration in february and may and budget can be focused on modification and integration in march and june, in january business needs to focus on premium item's strategy such as introducing offers, refining premium products, introducing new categories or products in premium sagment, ensuring premium item's stock availblity in advance for january in february business should focus on standard in march on budget in april on premium in may on standard and in june on budget, there is a pattern noticed every sagment stands in demand after two months but this finding doesn't indicate anything specific or valuable.</t>
  </si>
  <si>
    <t>CEO needs this to direct the teams and take discisions, Analysis team needs this if there is a saperate one, Product Research team needs this improve categories and products  as per sagment by month and form strategies.</t>
  </si>
  <si>
    <t>CEO needs this it will help him to assign and take discisions for sales rep according to their performance like assigning tasks, assigning regions those needs more progress, Sales director needs this, HR needs this to having an idea of quality of bond and relation he needs to maintain with high sales rep in varies ways like giving promotion, negotiating with them, granting leaves and a bit about office politics and matters also, Finance team needs this to track high sales rep performance and granting salary promotions or bonus if cariterias are decided.</t>
  </si>
  <si>
    <t>setting up pivot table adding customer segment in rows and sum of revenue in values</t>
  </si>
  <si>
    <t>it is good if it increases but there are some levels if budget increases it is good if standard increases it is better if premium increases it is best.</t>
  </si>
  <si>
    <t>It measures the products gaining less revenue than the middle range in the past months</t>
  </si>
  <si>
    <t>Most of the underperforming products are from beauty and clothing category product research team needs to research and analyse why these products are underperforming and refine and improve the products if no solid reason found then business can withdraw these products which will result in massive investment saving and then business should focus on introducing new products either alternet of these or complete but after a proper market and customer demographics research.</t>
  </si>
  <si>
    <t>CEO needs this to direct the teams and take discisions, Product Research team needs this to start inquiry in detail and improve the products performance.</t>
  </si>
  <si>
    <t>setting up pivot table adding product in rows and sum of revenue in values then sorting revenue large to small then taking median value of revenue to get middle value then applying conditional formatting on revenue adding custom formula the cell less than median value then appying red colour and then filtering by colour.</t>
  </si>
  <si>
    <t>It is good if it increases.</t>
  </si>
  <si>
    <t>Count of Customer Segment</t>
  </si>
  <si>
    <t>Count of Product</t>
  </si>
  <si>
    <t>Electronics revenue is $38,960 in all regions and $81,40 in south region, electronics in south performed less than north east and west.</t>
  </si>
  <si>
    <t>Category Revenue by percent</t>
  </si>
  <si>
    <t>It measures how much percent of business revenue come from each category</t>
  </si>
  <si>
    <t>Most of the business revenue comes from sports by 40.88%, electronics gained revenue by 33.81% of business sports and electronics drives the most revenue of business focusing and managing these both categories is really important such as check-in-balance, stock availblity and product quality any affect on any of category from these would result in business performance.</t>
  </si>
  <si>
    <t>CEO needs this to have a sense of future risk possiblities, Product Research team needs this to improve these categories more it will direct result in revenue growth.</t>
  </si>
  <si>
    <t>adding slicer to Revenue by category chart then selecting each category to see the most driven revenue then taking percentage of them.</t>
  </si>
  <si>
    <t>James Wilson was still the top performer in january but in march Mike Johnson took over.</t>
  </si>
  <si>
    <t>North has the most premium customers, north also has the most budget customers and budget has gained most revenue in north whereas premium has gained less revenue in north than budget.</t>
  </si>
  <si>
    <t>Filtering by region updates the both charts according to filter.</t>
  </si>
  <si>
    <t>Count of Date</t>
  </si>
  <si>
    <t>Timeline slicer didn't work I tried both ways to solve it that you told me but it didn't work so since you told me if it doesn't work leave it I'm leaving it.</t>
  </si>
  <si>
    <t>total revenue</t>
  </si>
  <si>
    <t>total units sold</t>
  </si>
  <si>
    <t>top region</t>
  </si>
  <si>
    <t>top sales rep</t>
  </si>
  <si>
    <t>south</t>
  </si>
  <si>
    <t>north</t>
  </si>
  <si>
    <t>east</t>
  </si>
  <si>
    <t>west</t>
  </si>
  <si>
    <t>maximum revenue</t>
  </si>
  <si>
    <t>Revenue by region filter with filter for top region</t>
  </si>
  <si>
    <t>sales rep table for top sales rep</t>
  </si>
  <si>
    <t>Top KPI boxes</t>
  </si>
  <si>
    <t>Revenue</t>
  </si>
  <si>
    <t>Top Bottom Sales Rap performance</t>
  </si>
  <si>
    <t>N</t>
  </si>
  <si>
    <t>E</t>
  </si>
  <si>
    <t>W</t>
  </si>
  <si>
    <t>S</t>
  </si>
  <si>
    <t>Total Units Sold</t>
  </si>
  <si>
    <t>Top Sales Rep</t>
  </si>
  <si>
    <t xml:space="preserve">James Wilson </t>
  </si>
  <si>
    <t>Top Region</t>
  </si>
  <si>
    <t xml:space="preserve">        Sales Rep                  Revenue</t>
  </si>
  <si>
    <t xml:space="preserve">      James Wilson               21504</t>
  </si>
  <si>
    <t xml:space="preserve">         David Lee                  20626</t>
  </si>
  <si>
    <t xml:space="preserve">    Joshua Jackson              10997</t>
  </si>
  <si>
    <t xml:space="preserve">    Ashley White                 4082</t>
  </si>
  <si>
    <t xml:space="preserve">      Emily Davis                 3645</t>
  </si>
  <si>
    <t xml:space="preserve">  Amanda Thomas             3484</t>
  </si>
  <si>
    <t xml:space="preserve">           South                      18634</t>
  </si>
  <si>
    <t>Maximum Revenue         39435</t>
  </si>
  <si>
    <t xml:space="preserve">            West                     18563</t>
  </si>
  <si>
    <t xml:space="preserve">             East                      38591</t>
  </si>
  <si>
    <t xml:space="preserve">           North                      39435</t>
  </si>
  <si>
    <t xml:space="preserve">         Top Region               North</t>
  </si>
  <si>
    <t xml:space="preserve">  Top Bottom Sales Rap Performance</t>
  </si>
  <si>
    <r>
      <rPr>
        <sz val="20"/>
        <color theme="0"/>
        <rFont val="Gill Sans Ultra Bold"/>
        <family val="2"/>
      </rPr>
      <t>N</t>
    </r>
    <r>
      <rPr>
        <sz val="20"/>
        <color theme="1"/>
        <rFont val="Gill Sans Ultra Bold"/>
        <family val="2"/>
      </rPr>
      <t xml:space="preserve">   </t>
    </r>
    <r>
      <rPr>
        <sz val="18"/>
        <color theme="3" tint="-0.249977111117893"/>
        <rFont val="Gill Sans Ultra Bold"/>
        <family val="2"/>
      </rPr>
      <t>E</t>
    </r>
    <r>
      <rPr>
        <sz val="20"/>
        <color theme="1"/>
        <rFont val="Gill Sans Ultra Bold"/>
        <family val="2"/>
      </rPr>
      <t xml:space="preserve">   </t>
    </r>
    <r>
      <rPr>
        <sz val="20"/>
        <color theme="0"/>
        <rFont val="Gill Sans Ultra Bold"/>
        <family val="2"/>
      </rPr>
      <t>X</t>
    </r>
    <r>
      <rPr>
        <sz val="20"/>
        <color theme="1"/>
        <rFont val="Gill Sans Ultra Bold"/>
        <family val="2"/>
      </rPr>
      <t xml:space="preserve">   </t>
    </r>
    <r>
      <rPr>
        <sz val="20"/>
        <color theme="0"/>
        <rFont val="Gill Sans Ultra Bold"/>
        <family val="2"/>
      </rPr>
      <t>A   C   O   R</t>
    </r>
    <r>
      <rPr>
        <sz val="20"/>
        <color rgb="FF0036B0"/>
        <rFont val="Gill Sans Ultra Bold"/>
        <family val="2"/>
      </rPr>
      <t xml:space="preserve"> </t>
    </r>
    <r>
      <rPr>
        <sz val="20"/>
        <color theme="1"/>
        <rFont val="Gill Sans Ultra Bold"/>
        <family val="2"/>
      </rPr>
      <t xml:space="preserve">  </t>
    </r>
    <r>
      <rPr>
        <sz val="18"/>
        <color theme="3" tint="-0.249977111117893"/>
        <rFont val="Gill Sans Ultra Bold"/>
        <family val="2"/>
      </rPr>
      <t>E</t>
    </r>
    <r>
      <rPr>
        <sz val="20"/>
        <color theme="3" tint="-0.249977111117893"/>
        <rFont val="Gill Sans Ultra Bold"/>
        <family val="2"/>
      </rPr>
      <t xml:space="preserve">    </t>
    </r>
    <r>
      <rPr>
        <sz val="20"/>
        <color theme="3" tint="-0.249977111117893"/>
        <rFont val="Arial Black"/>
        <family val="2"/>
      </rPr>
      <t>RETAIL SALES ANALYSIS</t>
    </r>
  </si>
  <si>
    <t>No</t>
  </si>
  <si>
    <t>set up PT5 Region x Category pivot</t>
  </si>
  <si>
    <t>Apparel</t>
  </si>
  <si>
    <t>Home &amp; Garden</t>
  </si>
  <si>
    <t>Sporting Goods</t>
  </si>
  <si>
    <t>Region Total</t>
  </si>
  <si>
    <t>Category Total</t>
  </si>
  <si>
    <t>It used Sumif instead of pivot and changed the categories names also</t>
  </si>
  <si>
    <t>No, it was completely wrong can lead any business to completely wrong direction.</t>
  </si>
  <si>
    <t>Formula reffrence, number's calculation, logical reasoning.</t>
  </si>
  <si>
    <t>Formula, Conceptual.</t>
  </si>
  <si>
    <t>Comparing to my pivot table.</t>
  </si>
  <si>
    <t>When data is a bit large it gets confused with reffrences and logics could be the reason that it has to manage command logic, task logic, calculating every single logic then handling task logic and calculating task data gets complicated for it to solve specially when data given is large.</t>
  </si>
  <si>
    <t xml:space="preserve"> write formulas for the KPI Summary Row in the dashboard.</t>
  </si>
  <si>
    <t>TOTAL REVENUE</t>
  </si>
  <si>
    <t>TOTAL UNITS SOLD</t>
  </si>
  <si>
    <t>TOP REGION</t>
  </si>
  <si>
    <t>TOP SALES REP</t>
  </si>
  <si>
    <t>Sarah Chen</t>
  </si>
  <si>
    <t>it used =SUM('Sales Data'!$I$2:$I$253) for total revenue and =SUM('Sales Data'!$H$2:$H$253) for Total units sold and =INDEX('PT1 Revenue by Region'!$A$6:$A$9,MATCH(MAX('PT1 Revenue by Region'!$B$6:$B$9),'PT1 Revenue by Region'!$B$6:$B$9,0)) for Top region and =INDEX('PT3 Revenue by Sales Rep'!$A$6:$A$13,MATCH(MAX('PT3 Revenue by Sales Rep'!$B$6:$B$13),'PT3 Revenue by Sales Rep'!$B$6:$B$13,0)) for top sales rep</t>
  </si>
  <si>
    <t>formula reffrence was completely wrong.</t>
  </si>
  <si>
    <t>Formula</t>
  </si>
  <si>
    <t>check formula's reffrence it was completely wrong and then compare it to my answer</t>
  </si>
  <si>
    <t>again When data is a bit large it gets confused with reffrences and logics could be the reason that it has to manage command logic, task logic, calculating every single logic then handling task logic and calculating task data gets complicated for it to solve specially when data given is large.</t>
  </si>
  <si>
    <t>which chart types to use for each Pivot Table.</t>
  </si>
  <si>
    <t>it used column for comparing charts instead of bar chart else it chose write charts</t>
  </si>
  <si>
    <t>partially</t>
  </si>
  <si>
    <t>logical reasoning 2nd person perspective</t>
  </si>
  <si>
    <t>chart choice</t>
  </si>
  <si>
    <t>comparing chart data and chart type</t>
  </si>
  <si>
    <t>it reveales that AI just finishes task it doesn't care about who this will be present to will the next person be able to understand it or will the person get the point data tells inshort AI lacks storytelling in data analysis and data visualization.</t>
  </si>
  <si>
    <t>AI to design the dashboard layout</t>
  </si>
  <si>
    <t>dashboard layout was absolutely wrong I wouldn't say not a single one but the rules that matters the most in dashboard designing wasn't applied even the basic one.</t>
  </si>
  <si>
    <t>layout, conceptual</t>
  </si>
  <si>
    <t>it placed four KPI summeries in first row total revenue, total units sold, top region, top sales rep in four boxes with solid colour then it placed two tables below one of top three sales rep second of bottom three sales rep which are also wrong then it placed three charts under that revenue by region, revenue by category, monthly revenue trend which is also wrong the monthly revenue trend has massive calculation mistakes completely misrepresentating the montly revenue trend the charts width is not same no colour theory no structure we need to scroll down to see the charts.</t>
  </si>
  <si>
    <t>placement was wrong, there were no colour theory, there were no structure, charts width was not even same.</t>
  </si>
  <si>
    <t>again I would say the soft skills like human psychology and as 2nd person's perspective isn't really integrated in AI making a dashboard that visually interact with the person without forcing is something that need empathy.</t>
  </si>
  <si>
    <t xml:space="preserve"> explain what Slicers are</t>
  </si>
  <si>
    <t>there was a general defination of slicers</t>
  </si>
  <si>
    <t>yes</t>
  </si>
  <si>
    <t>nothing</t>
  </si>
  <si>
    <t>nothing caught</t>
  </si>
  <si>
    <t>it reveals that AI can represent the data integrated in it very well either that is from books, online sources, AI model data training.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</si>
</sst>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yyyy\-mm\-dd;@"/>
    <numFmt numFmtId="165" formatCode="&quot;$&quot;#,##0.00"/>
  </numFmts>
  <fonts count="31" x14ac:knownFonts="1">
    <font>
      <sz val="11"/>
      <color theme="1"/>
      <name val="Calibri"/>
      <family val="2"/>
      <scheme val="minor"/>
    </font>
    <font>
      <b/>
      <sz val="13"/>
      <color rgb="FFFFFFFF"/>
      <name val="Arial"/>
      <family val="2"/>
    </font>
    <font>
      <i/>
      <sz val="9"/>
      <color rgb="FF2E5FA3"/>
      <name val="Arial"/>
      <family val="2"/>
    </font>
    <font>
      <b/>
      <sz val="9"/>
      <color rgb="FFFFFFFF"/>
      <name val="Arial"/>
      <family val="2"/>
    </font>
    <font>
      <sz val="9"/>
      <color rgb="FF1A1A1A"/>
      <name val="Arial"/>
      <family val="2"/>
    </font>
    <font>
      <i/>
      <sz val="9"/>
      <color rgb="FF7B2D00"/>
      <name val="Arial"/>
      <family val="2"/>
    </font>
    <font>
      <b/>
      <sz val="10"/>
      <color rgb="FFFFFFFF"/>
      <name val="Arial"/>
      <family val="2"/>
    </font>
    <font>
      <b/>
      <sz val="9"/>
      <color rgb="FF1A2B4A"/>
      <name val="Arial"/>
      <family val="2"/>
    </font>
    <font>
      <b/>
      <sz val="9"/>
      <color rgb="FF1A1A1A"/>
      <name val="Arial"/>
      <family val="2"/>
    </font>
    <font>
      <i/>
      <sz val="8"/>
      <color rgb="FFAAAAAA"/>
      <name val="Arial"/>
      <family val="2"/>
    </font>
    <font>
      <i/>
      <sz val="9"/>
      <color rgb="FF1A5C2A"/>
      <name val="Arial"/>
      <family val="2"/>
    </font>
    <font>
      <b/>
      <sz val="9"/>
      <name val="Arial"/>
      <family val="2"/>
    </font>
    <font>
      <b/>
      <sz val="9"/>
      <color rgb="FF1A2B4A"/>
      <name val="Arial"/>
      <family val="2"/>
    </font>
    <font>
      <i/>
      <sz val="9"/>
      <color rgb="FF7B2D00"/>
      <name val="Arial"/>
      <family val="2"/>
    </font>
    <font>
      <i/>
      <sz val="8"/>
      <color rgb="FFAAAAAA"/>
      <name val="Arial"/>
      <family val="2"/>
    </font>
    <font>
      <i/>
      <sz val="9"/>
      <color rgb="FF1A5C2A"/>
      <name val="Arial"/>
      <family val="2"/>
    </font>
    <font>
      <sz val="9"/>
      <color theme="1"/>
      <name val="Calibri"/>
      <family val="2"/>
      <scheme val="minor"/>
    </font>
    <font>
      <b/>
      <sz val="9"/>
      <color rgb="FF1A1A1A"/>
      <name val="Arial"/>
      <family val="2"/>
    </font>
    <font>
      <sz val="9"/>
      <color rgb="FF1A1A1A"/>
      <name val="Arial"/>
      <family val="2"/>
    </font>
    <font>
      <sz val="20"/>
      <color theme="1"/>
      <name val="Calibri"/>
      <family val="2"/>
      <scheme val="minor"/>
    </font>
    <font>
      <b/>
      <sz val="11"/>
      <color theme="1"/>
      <name val="Calibri"/>
      <family val="2"/>
      <scheme val="minor"/>
    </font>
    <font>
      <sz val="11"/>
      <color theme="1"/>
      <name val="Calibri"/>
      <family val="2"/>
      <scheme val="minor"/>
    </font>
    <font>
      <sz val="20"/>
      <color theme="1"/>
      <name val="Gill Sans Ultra Bold"/>
      <family val="2"/>
    </font>
    <font>
      <sz val="20"/>
      <color rgb="FF0036B0"/>
      <name val="Gill Sans Ultra Bold"/>
      <family val="2"/>
    </font>
    <font>
      <sz val="12"/>
      <color theme="1"/>
      <name val="Calibri"/>
      <family val="2"/>
      <scheme val="minor"/>
    </font>
    <font>
      <b/>
      <sz val="9"/>
      <color theme="1"/>
      <name val="Calibri"/>
      <family val="2"/>
      <scheme val="minor"/>
    </font>
    <font>
      <b/>
      <sz val="9"/>
      <color theme="0"/>
      <name val="Calibri"/>
      <family val="2"/>
      <scheme val="minor"/>
    </font>
    <font>
      <sz val="20"/>
      <color theme="0"/>
      <name val="Gill Sans Ultra Bold"/>
      <family val="2"/>
    </font>
    <font>
      <sz val="20"/>
      <color theme="3" tint="-0.249977111117893"/>
      <name val="Gill Sans Ultra Bold"/>
      <family val="2"/>
    </font>
    <font>
      <sz val="20"/>
      <color theme="3" tint="-0.249977111117893"/>
      <name val="Arial Black"/>
      <family val="2"/>
    </font>
    <font>
      <sz val="18"/>
      <color theme="3" tint="-0.249977111117893"/>
      <name val="Gill Sans Ultra Bold"/>
      <family val="2"/>
    </font>
  </fonts>
  <fills count="21">
    <fill>
      <patternFill patternType="none"/>
    </fill>
    <fill>
      <patternFill patternType="gray125"/>
    </fill>
    <fill>
      <patternFill patternType="solid">
        <fgColor rgb="FF1A2B4A"/>
      </patternFill>
    </fill>
    <fill>
      <patternFill patternType="solid">
        <fgColor rgb="FFD6E4F7"/>
      </patternFill>
    </fill>
    <fill>
      <patternFill patternType="solid">
        <fgColor rgb="FF2E5FA3"/>
      </patternFill>
    </fill>
    <fill>
      <patternFill patternType="solid">
        <fgColor rgb="FFF5F5F5"/>
      </patternFill>
    </fill>
    <fill>
      <patternFill patternType="solid">
        <fgColor rgb="FFFCE9D4"/>
      </patternFill>
    </fill>
    <fill>
      <patternFill patternType="solid">
        <fgColor rgb="FFFFF2CC"/>
      </patternFill>
    </fill>
    <fill>
      <patternFill patternType="solid">
        <fgColor rgb="FFE2EFDA"/>
      </patternFill>
    </fill>
    <fill>
      <patternFill patternType="solid">
        <fgColor theme="0"/>
        <bgColor indexed="64"/>
      </patternFill>
    </fill>
    <fill>
      <patternFill patternType="solid">
        <fgColor rgb="FF0078DE"/>
        <bgColor indexed="64"/>
      </patternFill>
    </fill>
    <fill>
      <patternFill patternType="solid">
        <fgColor rgb="FFFFC000"/>
        <bgColor indexed="64"/>
      </patternFill>
    </fill>
    <fill>
      <patternFill patternType="solid">
        <fgColor theme="2" tint="-0.249977111117893"/>
        <bgColor indexed="64"/>
      </patternFill>
    </fill>
    <fill>
      <patternFill patternType="solid">
        <fgColor theme="4" tint="0.79998168889431442"/>
        <bgColor theme="4" tint="0.79998168889431442"/>
      </patternFill>
    </fill>
    <fill>
      <patternFill patternType="solid">
        <fgColor rgb="FF1960FF"/>
        <bgColor theme="4" tint="0.79998168889431442"/>
      </patternFill>
    </fill>
    <fill>
      <patternFill patternType="solid">
        <fgColor theme="3" tint="0.59999389629810485"/>
        <bgColor indexed="64"/>
      </patternFill>
    </fill>
    <fill>
      <patternFill patternType="solid">
        <fgColor theme="0"/>
        <bgColor theme="4" tint="0.79998168889431442"/>
      </patternFill>
    </fill>
    <fill>
      <patternFill patternType="solid">
        <fgColor theme="4" tint="0.39997558519241921"/>
        <bgColor indexed="64"/>
      </patternFill>
    </fill>
    <fill>
      <patternFill patternType="solid">
        <fgColor rgb="FFFF0000"/>
        <bgColor indexed="64"/>
      </patternFill>
    </fill>
    <fill>
      <patternFill patternType="solid">
        <fgColor theme="3" tint="-0.249977111117893"/>
        <bgColor indexed="64"/>
      </patternFill>
    </fill>
    <fill>
      <patternFill patternType="solid">
        <fgColor rgb="FF1960FF"/>
        <bgColor indexed="64"/>
      </patternFill>
    </fill>
  </fills>
  <borders count="22">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thin">
        <color theme="4" tint="0.39997558519241921"/>
      </bottom>
      <diagonal/>
    </border>
  </borders>
  <cellStyleXfs count="2">
    <xf numFmtId="0" fontId="0" fillId="0" borderId="0"/>
    <xf numFmtId="44" fontId="21" fillId="0" borderId="0" applyFont="0" applyFill="0" applyBorder="0" applyAlignment="0" applyProtection="0"/>
  </cellStyleXfs>
  <cellXfs count="104">
    <xf numFmtId="0" fontId="0" fillId="0" borderId="0" xfId="0"/>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7" fillId="3" borderId="1" xfId="0" applyFont="1" applyFill="1" applyBorder="1" applyAlignment="1">
      <alignment horizontal="center" vertical="center" wrapText="1"/>
    </xf>
    <xf numFmtId="0" fontId="8" fillId="0" borderId="1" xfId="0" applyFont="1" applyBorder="1" applyAlignment="1">
      <alignment horizontal="left" vertical="center" wrapText="1"/>
    </xf>
    <xf numFmtId="0" fontId="9" fillId="7" borderId="1" xfId="0" applyFont="1" applyFill="1" applyBorder="1" applyAlignment="1">
      <alignment horizontal="left" vertical="center" wrapText="1"/>
    </xf>
    <xf numFmtId="0" fontId="7" fillId="3" borderId="1" xfId="0" applyFont="1" applyFill="1" applyBorder="1"/>
    <xf numFmtId="0" fontId="11"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7" fillId="3" borderId="0" xfId="0" applyFont="1" applyFill="1"/>
    <xf numFmtId="0" fontId="12" fillId="3" borderId="0" xfId="0" applyFont="1" applyFill="1"/>
    <xf numFmtId="0" fontId="0" fillId="0" borderId="0" xfId="0" applyAlignment="1">
      <alignment horizontal="left" indent="1"/>
    </xf>
    <xf numFmtId="0" fontId="14" fillId="7" borderId="1" xfId="0" applyFont="1" applyFill="1" applyBorder="1" applyAlignment="1">
      <alignment horizontal="left" vertical="center" wrapText="1"/>
    </xf>
    <xf numFmtId="0" fontId="10" fillId="8" borderId="0" xfId="0" applyFont="1" applyFill="1" applyAlignment="1">
      <alignment horizontal="left" vertical="center" wrapText="1"/>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16" fillId="0" borderId="0" xfId="0" applyFont="1"/>
    <xf numFmtId="0" fontId="9" fillId="9" borderId="1" xfId="0" applyFont="1" applyFill="1" applyBorder="1" applyAlignment="1">
      <alignment horizontal="left" vertical="center" wrapText="1"/>
    </xf>
    <xf numFmtId="0" fontId="17" fillId="0" borderId="1" xfId="0" applyFont="1" applyBorder="1" applyAlignment="1">
      <alignment horizontal="left" vertical="center" wrapText="1"/>
    </xf>
    <xf numFmtId="0" fontId="15" fillId="8" borderId="0" xfId="0" applyFont="1" applyFill="1" applyAlignment="1">
      <alignment horizontal="left" vertical="center" wrapText="1"/>
    </xf>
    <xf numFmtId="164" fontId="3" fillId="4" borderId="1" xfId="0" applyNumberFormat="1" applyFont="1" applyFill="1" applyBorder="1" applyAlignment="1">
      <alignment horizontal="center" vertical="center" wrapText="1"/>
    </xf>
    <xf numFmtId="164" fontId="4" fillId="5" borderId="1" xfId="0" applyNumberFormat="1" applyFont="1" applyFill="1" applyBorder="1" applyAlignment="1">
      <alignment horizontal="center" vertical="center" wrapText="1"/>
    </xf>
    <xf numFmtId="164" fontId="4" fillId="0" borderId="1" xfId="0" applyNumberFormat="1" applyFont="1" applyBorder="1" applyAlignment="1">
      <alignment horizontal="center" vertical="center" wrapText="1"/>
    </xf>
    <xf numFmtId="164" fontId="0" fillId="0" borderId="0" xfId="0" applyNumberFormat="1"/>
    <xf numFmtId="0" fontId="18" fillId="0" borderId="1" xfId="0" applyFont="1" applyBorder="1" applyAlignment="1">
      <alignment horizontal="center" vertical="center" wrapText="1"/>
    </xf>
    <xf numFmtId="0" fontId="0" fillId="0" borderId="12" xfId="0" applyBorder="1"/>
    <xf numFmtId="0" fontId="0" fillId="10" borderId="12" xfId="0" applyFill="1" applyBorder="1"/>
    <xf numFmtId="0" fontId="4" fillId="5" borderId="12" xfId="0" applyFont="1" applyFill="1" applyBorder="1" applyAlignment="1">
      <alignment horizontal="center" vertical="center" wrapText="1"/>
    </xf>
    <xf numFmtId="0" fontId="4" fillId="0" borderId="12" xfId="0" applyFont="1" applyBorder="1" applyAlignment="1">
      <alignment horizontal="center" vertical="center" wrapText="1"/>
    </xf>
    <xf numFmtId="0" fontId="0" fillId="12" borderId="12" xfId="0" applyFill="1" applyBorder="1"/>
    <xf numFmtId="0" fontId="0" fillId="12" borderId="12" xfId="0" applyFill="1" applyBorder="1" applyAlignment="1">
      <alignment horizontal="center"/>
    </xf>
    <xf numFmtId="0" fontId="0" fillId="11" borderId="12" xfId="0" applyFill="1" applyBorder="1"/>
    <xf numFmtId="0" fontId="20" fillId="13" borderId="21" xfId="0" applyFont="1" applyFill="1" applyBorder="1"/>
    <xf numFmtId="0" fontId="0" fillId="0" borderId="12" xfId="0" applyBorder="1" applyAlignment="1">
      <alignment horizontal="left"/>
    </xf>
    <xf numFmtId="0" fontId="20" fillId="14" borderId="12" xfId="0" applyFont="1" applyFill="1" applyBorder="1"/>
    <xf numFmtId="0" fontId="0" fillId="9" borderId="0" xfId="0" applyFill="1" applyAlignment="1">
      <alignment vertical="center"/>
    </xf>
    <xf numFmtId="0" fontId="0" fillId="0" borderId="0" xfId="0" applyAlignment="1">
      <alignment vertical="center"/>
    </xf>
    <xf numFmtId="0" fontId="24" fillId="0" borderId="0" xfId="0" applyFont="1" applyAlignment="1">
      <alignment vertical="center"/>
    </xf>
    <xf numFmtId="0" fontId="0" fillId="9" borderId="0" xfId="0" applyFill="1"/>
    <xf numFmtId="1" fontId="0" fillId="9" borderId="0" xfId="0" applyNumberFormat="1" applyFill="1"/>
    <xf numFmtId="0" fontId="20" fillId="16" borderId="0" xfId="0" applyFont="1" applyFill="1"/>
    <xf numFmtId="0" fontId="22" fillId="9" borderId="0" xfId="0" applyFont="1" applyFill="1" applyAlignment="1">
      <alignment vertical="center"/>
    </xf>
    <xf numFmtId="0" fontId="25" fillId="10" borderId="12" xfId="0" applyFont="1" applyFill="1" applyBorder="1" applyAlignment="1">
      <alignment vertical="center"/>
    </xf>
    <xf numFmtId="0" fontId="25" fillId="14" borderId="12" xfId="0" applyFont="1" applyFill="1" applyBorder="1" applyAlignment="1">
      <alignment vertical="center"/>
    </xf>
    <xf numFmtId="0" fontId="25" fillId="17" borderId="12" xfId="0" applyFont="1" applyFill="1" applyBorder="1" applyAlignment="1">
      <alignment horizontal="left" vertical="center"/>
    </xf>
    <xf numFmtId="0" fontId="25" fillId="18" borderId="12" xfId="0" applyFont="1" applyFill="1" applyBorder="1" applyAlignment="1">
      <alignment horizontal="left" vertical="center"/>
    </xf>
    <xf numFmtId="0" fontId="26" fillId="19" borderId="12" xfId="0" applyFont="1" applyFill="1" applyBorder="1" applyAlignment="1">
      <alignment horizontal="center" vertical="center"/>
    </xf>
    <xf numFmtId="0" fontId="25" fillId="15" borderId="12" xfId="0" applyFont="1" applyFill="1" applyBorder="1" applyAlignment="1">
      <alignment horizontal="center" vertical="center"/>
    </xf>
    <xf numFmtId="0" fontId="25" fillId="15" borderId="12" xfId="0" applyFont="1" applyFill="1" applyBorder="1" applyAlignment="1">
      <alignment vertical="center"/>
    </xf>
    <xf numFmtId="0" fontId="26" fillId="19" borderId="12" xfId="0" applyFont="1" applyFill="1" applyBorder="1" applyAlignment="1">
      <alignment vertical="center"/>
    </xf>
    <xf numFmtId="165" fontId="25" fillId="15" borderId="12" xfId="1" applyNumberFormat="1" applyFont="1" applyFill="1" applyBorder="1" applyAlignment="1">
      <alignment horizontal="center" vertical="center"/>
    </xf>
    <xf numFmtId="1" fontId="25" fillId="15" borderId="12" xfId="0" applyNumberFormat="1" applyFont="1" applyFill="1" applyBorder="1" applyAlignment="1">
      <alignment horizontal="center" vertical="center"/>
    </xf>
    <xf numFmtId="0" fontId="1" fillId="2" borderId="0" xfId="0" applyFont="1" applyFill="1" applyAlignment="1">
      <alignment horizontal="center" vertical="center" wrapText="1"/>
    </xf>
    <xf numFmtId="0" fontId="0" fillId="0" borderId="0" xfId="0"/>
    <xf numFmtId="0" fontId="3" fillId="4" borderId="0" xfId="0" applyFont="1" applyFill="1" applyAlignment="1">
      <alignment horizontal="left" vertical="center" wrapText="1"/>
    </xf>
    <xf numFmtId="0" fontId="0" fillId="7" borderId="1" xfId="0" applyFill="1" applyBorder="1" applyAlignment="1">
      <alignment horizontal="left" vertical="center" wrapText="1"/>
    </xf>
    <xf numFmtId="0" fontId="2" fillId="3" borderId="0" xfId="0" applyFont="1" applyFill="1" applyAlignment="1">
      <alignment horizontal="left" vertical="center" wrapText="1"/>
    </xf>
    <xf numFmtId="0" fontId="13" fillId="6" borderId="0" xfId="0" applyFont="1" applyFill="1" applyAlignment="1">
      <alignment horizontal="left" vertical="center" wrapText="1"/>
    </xf>
    <xf numFmtId="0" fontId="5" fillId="6" borderId="0" xfId="0" applyFont="1" applyFill="1" applyAlignment="1">
      <alignment horizontal="left" vertical="center" wrapText="1"/>
    </xf>
    <xf numFmtId="0" fontId="8" fillId="8"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6" fillId="4" borderId="0" xfId="0" applyFont="1" applyFill="1" applyAlignment="1">
      <alignment horizontal="left" vertical="center" wrapText="1"/>
    </xf>
    <xf numFmtId="0" fontId="8" fillId="3" borderId="1" xfId="0" applyFont="1" applyFill="1" applyBorder="1" applyAlignment="1">
      <alignment horizontal="left" vertical="center" wrapText="1"/>
    </xf>
    <xf numFmtId="0" fontId="8" fillId="7" borderId="1" xfId="0" applyFont="1" applyFill="1" applyBorder="1" applyAlignment="1">
      <alignment horizontal="left" vertical="center" wrapText="1"/>
    </xf>
    <xf numFmtId="0" fontId="10" fillId="8" borderId="0" xfId="0" applyFont="1" applyFill="1" applyAlignment="1">
      <alignment horizontal="left" vertical="center" wrapText="1"/>
    </xf>
    <xf numFmtId="0" fontId="0" fillId="0" borderId="0" xfId="0" applyAlignment="1">
      <alignment horizontal="left"/>
    </xf>
    <xf numFmtId="0" fontId="4" fillId="3" borderId="0" xfId="0" applyFont="1" applyFill="1" applyAlignment="1">
      <alignment horizontal="left" vertical="center" wrapText="1"/>
    </xf>
    <xf numFmtId="0" fontId="4" fillId="5" borderId="0" xfId="0" applyFont="1" applyFill="1" applyAlignment="1">
      <alignment horizontal="left" vertical="center" wrapText="1"/>
    </xf>
    <xf numFmtId="0" fontId="4" fillId="7" borderId="1" xfId="0" applyFont="1" applyFill="1" applyBorder="1" applyAlignment="1">
      <alignment horizontal="left" vertical="center" wrapText="1"/>
    </xf>
    <xf numFmtId="0" fontId="8" fillId="0" borderId="1" xfId="0" applyFont="1" applyBorder="1" applyAlignment="1">
      <alignment horizontal="left" vertical="center" wrapText="1"/>
    </xf>
    <xf numFmtId="0" fontId="4" fillId="0" borderId="1" xfId="0" applyFont="1" applyBorder="1" applyAlignment="1">
      <alignment horizontal="left" vertical="center" wrapText="1"/>
    </xf>
    <xf numFmtId="0" fontId="15" fillId="8" borderId="2" xfId="0" applyFont="1" applyFill="1" applyBorder="1" applyAlignment="1">
      <alignment horizontal="left" vertical="center" wrapText="1"/>
    </xf>
    <xf numFmtId="0" fontId="10" fillId="8" borderId="2" xfId="0" applyFont="1" applyFill="1" applyBorder="1" applyAlignment="1">
      <alignment horizontal="left" vertical="center" wrapText="1"/>
    </xf>
    <xf numFmtId="0" fontId="10" fillId="8" borderId="1" xfId="0" applyFont="1" applyFill="1" applyBorder="1" applyAlignment="1">
      <alignment horizontal="left" vertical="center" wrapText="1"/>
    </xf>
    <xf numFmtId="0" fontId="0" fillId="11" borderId="12" xfId="0" applyFill="1" applyBorder="1" applyAlignment="1">
      <alignment horizontal="center" vertical="center"/>
    </xf>
    <xf numFmtId="0" fontId="0" fillId="12" borderId="0" xfId="0" applyFill="1" applyAlignment="1">
      <alignment horizontal="center"/>
    </xf>
    <xf numFmtId="0" fontId="0" fillId="12" borderId="14" xfId="0" applyFill="1" applyBorder="1" applyAlignment="1">
      <alignment horizontal="center"/>
    </xf>
    <xf numFmtId="0" fontId="19" fillId="9" borderId="15" xfId="0" applyFont="1" applyFill="1" applyBorder="1" applyAlignment="1">
      <alignment horizontal="center" vertical="center"/>
    </xf>
    <xf numFmtId="0" fontId="0" fillId="9" borderId="16" xfId="0" applyFill="1" applyBorder="1" applyAlignment="1">
      <alignment horizontal="center" vertical="center"/>
    </xf>
    <xf numFmtId="0" fontId="0" fillId="9" borderId="17" xfId="0" applyFill="1" applyBorder="1" applyAlignment="1">
      <alignment horizontal="center" vertical="center"/>
    </xf>
    <xf numFmtId="0" fontId="0" fillId="9" borderId="13" xfId="0" applyFill="1" applyBorder="1" applyAlignment="1">
      <alignment horizontal="center" vertical="center"/>
    </xf>
    <xf numFmtId="0" fontId="0" fillId="9" borderId="0" xfId="0" applyFill="1" applyAlignment="1">
      <alignment horizontal="center" vertical="center"/>
    </xf>
    <xf numFmtId="0" fontId="0" fillId="9" borderId="14" xfId="0" applyFill="1" applyBorder="1" applyAlignment="1">
      <alignment horizontal="center" vertical="center"/>
    </xf>
    <xf numFmtId="0" fontId="0" fillId="9" borderId="18" xfId="0" applyFill="1" applyBorder="1" applyAlignment="1">
      <alignment horizontal="center" vertical="center"/>
    </xf>
    <xf numFmtId="0" fontId="0" fillId="9" borderId="19" xfId="0" applyFill="1" applyBorder="1" applyAlignment="1">
      <alignment horizontal="center" vertical="center"/>
    </xf>
    <xf numFmtId="0" fontId="0" fillId="9" borderId="20" xfId="0" applyFill="1" applyBorder="1" applyAlignment="1">
      <alignment horizontal="center" vertical="center"/>
    </xf>
    <xf numFmtId="0" fontId="0" fillId="11" borderId="12" xfId="0" applyFill="1" applyBorder="1" applyAlignment="1">
      <alignment horizontal="center"/>
    </xf>
    <xf numFmtId="1" fontId="0" fillId="10" borderId="12" xfId="0" applyNumberFormat="1" applyFill="1" applyBorder="1" applyAlignment="1">
      <alignment horizontal="center"/>
    </xf>
    <xf numFmtId="0" fontId="22" fillId="20" borderId="0" xfId="0" applyFont="1" applyFill="1" applyAlignment="1">
      <alignment horizontal="center" vertical="center"/>
    </xf>
    <xf numFmtId="0" fontId="0" fillId="0" borderId="0" xfId="0" applyAlignment="1">
      <alignment horizontal="center"/>
    </xf>
    <xf numFmtId="0" fontId="4" fillId="3" borderId="1" xfId="0" applyFont="1" applyFill="1" applyBorder="1" applyAlignment="1">
      <alignment horizontal="left" vertical="center" wrapText="1"/>
    </xf>
    <xf numFmtId="0" fontId="4" fillId="8" borderId="1" xfId="0" applyFont="1" applyFill="1" applyBorder="1" applyAlignment="1">
      <alignment horizontal="left" vertical="center" wrapText="1"/>
    </xf>
    <xf numFmtId="0" fontId="0" fillId="0" borderId="0" xfId="0" applyNumberFormat="1"/>
  </cellXfs>
  <cellStyles count="2">
    <cellStyle name="Currency" xfId="1" builtinId="4"/>
    <cellStyle name="Normal" xfId="0" builtinId="0"/>
  </cellStyles>
  <dxfs count="7">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theme="3" tint="-0.24994659260841701"/>
        </patternFill>
      </fill>
    </dxf>
    <dxf>
      <fill>
        <patternFill>
          <bgColor rgb="FFFFC000"/>
        </patternFill>
      </fill>
    </dxf>
    <dxf>
      <fill>
        <patternFill>
          <bgColor theme="3" tint="0.79998168889431442"/>
        </patternFill>
      </fill>
    </dxf>
    <dxf>
      <fill>
        <patternFill>
          <bgColor theme="3" tint="0.39994506668294322"/>
        </patternFill>
      </fill>
    </dxf>
  </dxfs>
  <tableStyles count="9" defaultTableStyle="TableStyleMedium9" defaultPivotStyle="PivotStyleLight16">
    <tableStyle name="Slicer Style 1" pivot="0" table="0" count="1" xr9:uid="{26F481A8-C5D4-47EA-8A30-B97D273D383A}">
      <tableStyleElement type="wholeTable" dxfId="6"/>
    </tableStyle>
    <tableStyle name="Slicer Style 2" pivot="0" table="0" count="0" xr9:uid="{AC6419F4-54B1-4EE0-9291-721A9AFBC704}"/>
    <tableStyle name="Slicer Style 3" pivot="0" table="0" count="1" xr9:uid="{3841FB66-FDCB-4453-A9FF-3CCC50F58DA0}">
      <tableStyleElement type="headerRow" dxfId="5"/>
    </tableStyle>
    <tableStyle name="Slicer Style 4" pivot="0" table="0" count="1" xr9:uid="{FE35E289-8D51-4E4C-BC70-86A183CB4076}">
      <tableStyleElement type="wholeTable" dxfId="4"/>
    </tableStyle>
    <tableStyle name="Slicer Style 5" pivot="0" table="0" count="1" xr9:uid="{9F78B009-8967-46DC-A277-154353D4DA3A}"/>
    <tableStyle name="Slicer Style 6" pivot="0" table="0" count="1" xr9:uid="{D139435C-6008-4169-964B-E80BA7DB9BEE}">
      <tableStyleElement type="headerRow" dxfId="3"/>
    </tableStyle>
    <tableStyle name="Slicer Style 7" pivot="0" table="0" count="1" xr9:uid="{123EEEFA-698E-407D-9858-A1B523E3D2B0}"/>
    <tableStyle name="Slicer Style 8" pivot="0" table="0" count="1" xr9:uid="{4A52B2F7-9D50-42A2-BB3D-103E3AD86147}"/>
    <tableStyle name="Slicer Style 9" pivot="0" table="0" count="1" xr9:uid="{4E9FB654-8AA2-4E45-9087-00219F36C979}"/>
  </tableStyles>
  <colors>
    <mruColors>
      <color rgb="FF1960FF"/>
      <color rgb="FF0036B0"/>
      <color rgb="FF007DE6"/>
      <color rgb="FF5867F2"/>
      <color rgb="FF5D8FFF"/>
      <color rgb="FF9FBDFF"/>
      <color rgb="FFD1E8FF"/>
      <color rgb="FF61FFA8"/>
      <color rgb="FF00FA71"/>
      <color rgb="FF57FF3B"/>
    </mruColors>
  </colors>
  <extLst>
    <ext xmlns:x14="http://schemas.microsoft.com/office/spreadsheetml/2009/9/main" uri="{46F421CA-312F-682f-3DD2-61675219B42D}">
      <x14:dxfs count="4">
        <dxf>
          <font>
            <color theme="0"/>
          </font>
          <fill>
            <patternFill>
              <bgColor theme="3" tint="-0.24994659260841701"/>
            </patternFill>
          </fill>
        </dxf>
        <dxf>
          <fill>
            <patternFill>
              <bgColor theme="3" tint="-0.24994659260841701"/>
            </patternFill>
          </fill>
        </dxf>
        <dxf>
          <fill>
            <patternFill>
              <bgColor theme="3" tint="0.39994506668294322"/>
            </patternFill>
          </fill>
        </dxf>
        <dxf>
          <fill>
            <patternFill>
              <bgColor rgb="FFFFC000"/>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Elements>
            <x14:slicerStyleElement type="selectedItemWithData" dxfId="3"/>
          </x14:slicerStyleElements>
        </x14:slicerStyle>
        <x14:slicerStyle name="Slicer Style 6"/>
        <x14:slicerStyle name="Slicer Style 7">
          <x14:slicerStyleElements>
            <x14:slicerStyleElement type="selectedItemWithData" dxfId="2"/>
          </x14:slicerStyleElements>
        </x14:slicerStyle>
        <x14:slicerStyle name="Slicer Style 8">
          <x14:slicerStyleElements>
            <x14:slicerStyleElement type="selectedItemWithData" dxfId="1"/>
          </x14:slicerStyleElements>
        </x14:slicerStyle>
        <x14:slicerStyle name="Slicer Style 9">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microsoft.com/office/2007/relationships/slicerCache" Target="slicerCaches/slicerCache3.xml"/><Relationship Id="rId29"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7.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microsoft.com/office/2007/relationships/slicerCache" Target="slicerCaches/slicerCache6.xml"/><Relationship Id="rId28" Type="http://schemas.openxmlformats.org/officeDocument/2006/relationships/sheetMetadata" Target="metadata.xml"/><Relationship Id="rId10" Type="http://schemas.openxmlformats.org/officeDocument/2006/relationships/worksheet" Target="worksheets/sheet10.xml"/><Relationship Id="rId19" Type="http://schemas.microsoft.com/office/2007/relationships/slicerCache" Target="slicerCaches/slicerCache2.xml"/><Relationship Id="rId31"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microsoft.com/office/2007/relationships/slicerCache" Target="slicerCaches/slicerCache5.xml"/><Relationship Id="rId27" Type="http://schemas.openxmlformats.org/officeDocument/2006/relationships/sharedStrings" Target="sharedStrings.xml"/><Relationship Id="rId30"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[Month1_Week4_Practice(AutoRecovered).xlsx]Sheet1!PivotTable1</c:name>
    <c:fmtId val="3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Revenue</a:t>
            </a:r>
            <a:r>
              <a:rPr lang="en-US" baseline="0">
                <a:solidFill>
                  <a:schemeClr val="bg1"/>
                </a:solidFill>
              </a:rPr>
              <a:t> By Category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FBDFF"/>
          </a:solidFill>
          <a:ln w="31750" cap="rnd">
            <a:solidFill>
              <a:srgbClr val="9FBDFF"/>
            </a:solidFill>
            <a:bevel/>
          </a:ln>
          <a:effectLst/>
          <a:sp3d contourW="31750">
            <a:contourClr>
              <a:srgbClr val="9FBDFF"/>
            </a:contourClr>
          </a:sp3d>
        </c:spPr>
      </c:pivotFmt>
      <c:pivotFmt>
        <c:idx val="2"/>
        <c:spPr>
          <a:solidFill>
            <a:srgbClr val="1960FF"/>
          </a:solidFill>
          <a:ln w="28575" cap="rnd" cmpd="sng">
            <a:solidFill>
              <a:srgbClr val="1960FF"/>
            </a:solidFill>
            <a:bevel/>
          </a:ln>
          <a:effectLst/>
          <a:sp3d contourW="28575">
            <a:contourClr>
              <a:srgbClr val="1960FF"/>
            </a:contourClr>
          </a:sp3d>
        </c:spPr>
      </c:pivotFmt>
      <c:pivotFmt>
        <c:idx val="3"/>
        <c:spPr>
          <a:solidFill>
            <a:srgbClr val="0036B0"/>
          </a:solidFill>
          <a:ln w="15875" cap="rnd">
            <a:solidFill>
              <a:srgbClr val="0036B0"/>
            </a:solidFill>
            <a:bevel/>
          </a:ln>
          <a:effectLst/>
          <a:sp3d contourW="15875">
            <a:contourClr>
              <a:srgbClr val="0036B0"/>
            </a:contourClr>
          </a:sp3d>
        </c:spPr>
      </c:pivotFmt>
      <c:pivotFmt>
        <c:idx val="4"/>
        <c:spPr>
          <a:solidFill>
            <a:srgbClr val="5D8FFF"/>
          </a:solidFill>
          <a:ln w="31750" cap="rnd">
            <a:solidFill>
              <a:srgbClr val="5D8FFF"/>
            </a:solidFill>
            <a:bevel/>
          </a:ln>
          <a:effectLst/>
          <a:sp3d contourW="31750">
            <a:contourClr>
              <a:srgbClr val="5D8FFF"/>
            </a:contourClr>
          </a:sp3d>
        </c:spPr>
      </c:pivotFmt>
      <c:pivotFmt>
        <c:idx val="5"/>
        <c:spPr>
          <a:solidFill>
            <a:srgbClr val="D1E8FF"/>
          </a:solidFill>
          <a:ln w="44450" cap="rnd">
            <a:solidFill>
              <a:srgbClr val="D1E8FF"/>
            </a:solidFill>
            <a:bevel/>
          </a:ln>
          <a:effectLst/>
          <a:sp3d contourW="44450">
            <a:contourClr>
              <a:srgbClr val="D1E8FF"/>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18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Sheet1!$B$3</c:f>
              <c:strCache>
                <c:ptCount val="1"/>
                <c:pt idx="0">
                  <c:v>Total</c:v>
                </c:pt>
              </c:strCache>
            </c:strRef>
          </c:tx>
          <c:explosion val="6"/>
          <c:dPt>
            <c:idx val="0"/>
            <c:bubble3D val="0"/>
            <c:spPr>
              <a:solidFill>
                <a:srgbClr val="9FBDFF"/>
              </a:solidFill>
              <a:ln w="31750" cap="rnd">
                <a:solidFill>
                  <a:srgbClr val="9FBDFF"/>
                </a:solidFill>
                <a:bevel/>
              </a:ln>
              <a:effectLst/>
              <a:sp3d contourW="31750">
                <a:contourClr>
                  <a:srgbClr val="9FBDFF"/>
                </a:contourClr>
              </a:sp3d>
            </c:spPr>
            <c:extLst>
              <c:ext xmlns:c16="http://schemas.microsoft.com/office/drawing/2014/chart" uri="{C3380CC4-5D6E-409C-BE32-E72D297353CC}">
                <c16:uniqueId val="{00000004-7129-4282-81EA-3CBA60B27762}"/>
              </c:ext>
            </c:extLst>
          </c:dPt>
          <c:dPt>
            <c:idx val="1"/>
            <c:bubble3D val="0"/>
            <c:spPr>
              <a:solidFill>
                <a:srgbClr val="D1E8FF"/>
              </a:solidFill>
              <a:ln w="44450" cap="rnd">
                <a:solidFill>
                  <a:srgbClr val="D1E8FF"/>
                </a:solidFill>
                <a:bevel/>
              </a:ln>
              <a:effectLst/>
              <a:sp3d contourW="44450">
                <a:contourClr>
                  <a:srgbClr val="D1E8FF"/>
                </a:contourClr>
              </a:sp3d>
            </c:spPr>
            <c:extLst>
              <c:ext xmlns:c16="http://schemas.microsoft.com/office/drawing/2014/chart" uri="{C3380CC4-5D6E-409C-BE32-E72D297353CC}">
                <c16:uniqueId val="{00000003-7129-4282-81EA-3CBA60B27762}"/>
              </c:ext>
            </c:extLst>
          </c:dPt>
          <c:dPt>
            <c:idx val="2"/>
            <c:bubble3D val="0"/>
            <c:spPr>
              <a:solidFill>
                <a:srgbClr val="5D8FFF"/>
              </a:solidFill>
              <a:ln w="31750" cap="rnd">
                <a:solidFill>
                  <a:srgbClr val="5D8FFF"/>
                </a:solidFill>
                <a:bevel/>
              </a:ln>
              <a:effectLst/>
              <a:sp3d contourW="31750">
                <a:contourClr>
                  <a:srgbClr val="5D8FFF"/>
                </a:contourClr>
              </a:sp3d>
            </c:spPr>
            <c:extLst>
              <c:ext xmlns:c16="http://schemas.microsoft.com/office/drawing/2014/chart" uri="{C3380CC4-5D6E-409C-BE32-E72D297353CC}">
                <c16:uniqueId val="{00000006-7129-4282-81EA-3CBA60B27762}"/>
              </c:ext>
            </c:extLst>
          </c:dPt>
          <c:dPt>
            <c:idx val="3"/>
            <c:bubble3D val="0"/>
            <c:spPr>
              <a:solidFill>
                <a:srgbClr val="1960FF"/>
              </a:solidFill>
              <a:ln w="28575" cap="rnd" cmpd="sng">
                <a:solidFill>
                  <a:srgbClr val="1960FF"/>
                </a:solidFill>
                <a:bevel/>
              </a:ln>
              <a:effectLst/>
              <a:sp3d contourW="28575">
                <a:contourClr>
                  <a:srgbClr val="1960FF"/>
                </a:contourClr>
              </a:sp3d>
            </c:spPr>
            <c:extLst>
              <c:ext xmlns:c16="http://schemas.microsoft.com/office/drawing/2014/chart" uri="{C3380CC4-5D6E-409C-BE32-E72D297353CC}">
                <c16:uniqueId val="{00000005-7129-4282-81EA-3CBA60B27762}"/>
              </c:ext>
            </c:extLst>
          </c:dPt>
          <c:dPt>
            <c:idx val="4"/>
            <c:bubble3D val="0"/>
            <c:spPr>
              <a:solidFill>
                <a:srgbClr val="0036B0"/>
              </a:solidFill>
              <a:ln w="15875" cap="rnd">
                <a:solidFill>
                  <a:srgbClr val="0036B0"/>
                </a:solidFill>
                <a:bevel/>
              </a:ln>
              <a:effectLst/>
              <a:sp3d contourW="15875">
                <a:contourClr>
                  <a:srgbClr val="0036B0"/>
                </a:contourClr>
              </a:sp3d>
            </c:spPr>
            <c:extLst>
              <c:ext xmlns:c16="http://schemas.microsoft.com/office/drawing/2014/chart" uri="{C3380CC4-5D6E-409C-BE32-E72D297353CC}">
                <c16:uniqueId val="{00000002-7129-4282-81EA-3CBA60B2776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Sheet1!$A$4:$A$9</c:f>
              <c:strCache>
                <c:ptCount val="5"/>
                <c:pt idx="0">
                  <c:v>Sports</c:v>
                </c:pt>
                <c:pt idx="1">
                  <c:v>Electronics</c:v>
                </c:pt>
                <c:pt idx="2">
                  <c:v>Home Appliances</c:v>
                </c:pt>
                <c:pt idx="3">
                  <c:v>Clothing</c:v>
                </c:pt>
                <c:pt idx="4">
                  <c:v>Beauty</c:v>
                </c:pt>
              </c:strCache>
            </c:strRef>
          </c:cat>
          <c:val>
            <c:numRef>
              <c:f>Sheet1!$B$4:$B$9</c:f>
              <c:numCache>
                <c:formatCode>General</c:formatCode>
                <c:ptCount val="5"/>
                <c:pt idx="0">
                  <c:v>47108</c:v>
                </c:pt>
                <c:pt idx="1">
                  <c:v>38960</c:v>
                </c:pt>
                <c:pt idx="2">
                  <c:v>19170</c:v>
                </c:pt>
                <c:pt idx="3">
                  <c:v>6694</c:v>
                </c:pt>
                <c:pt idx="4">
                  <c:v>3291</c:v>
                </c:pt>
              </c:numCache>
            </c:numRef>
          </c:val>
          <c:extLst>
            <c:ext xmlns:c16="http://schemas.microsoft.com/office/drawing/2014/chart" uri="{C3380CC4-5D6E-409C-BE32-E72D297353CC}">
              <c16:uniqueId val="{00000000-7129-4282-81EA-3CBA60B27762}"/>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5253674540682414"/>
          <c:y val="0.33144648585593467"/>
          <c:w val="0.2307965879265092"/>
          <c:h val="0.527338509769612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00B0F0"/>
        </a:gs>
        <a:gs pos="46000">
          <a:schemeClr val="tx2">
            <a:lumMod val="75000"/>
          </a:schemeClr>
        </a:gs>
        <a:gs pos="100000">
          <a:schemeClr val="tx2">
            <a:lumMod val="50000"/>
          </a:schemeClr>
        </a:gs>
      </a:gsLst>
      <a:path path="rect">
        <a:fillToRect l="100000" t="10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[Month1_Week4_Practice(AutoRecovered).xlsx]Pivot tables!PivotTable6</c:name>
    <c:fmtId val="2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Revenue</a:t>
            </a:r>
            <a:r>
              <a:rPr lang="en-US" baseline="0">
                <a:solidFill>
                  <a:schemeClr val="bg1"/>
                </a:solidFill>
              </a:rPr>
              <a:t> By Region</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D8FFF"/>
          </a:solidFill>
          <a:ln>
            <a:noFill/>
          </a:ln>
          <a:effectLst/>
        </c:spPr>
      </c:pivotFmt>
      <c:pivotFmt>
        <c:idx val="2"/>
        <c:spPr>
          <a:solidFill>
            <a:srgbClr val="5D8FFF"/>
          </a:solidFill>
          <a:ln>
            <a:noFill/>
          </a:ln>
          <a:effectLst/>
        </c:spPr>
      </c:pivotFmt>
      <c:pivotFmt>
        <c:idx val="3"/>
        <c:spPr>
          <a:solidFill>
            <a:srgbClr val="0150FF"/>
          </a:solidFill>
          <a:ln>
            <a:noFill/>
          </a:ln>
          <a:effectLst/>
        </c:spPr>
      </c:pivotFmt>
      <c:pivotFmt>
        <c:idx val="4"/>
        <c:spPr>
          <a:solidFill>
            <a:srgbClr val="0036B0"/>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36B0"/>
          </a:solidFill>
          <a:ln>
            <a:noFill/>
          </a:ln>
          <a:effectLst/>
        </c:spPr>
      </c:pivotFmt>
      <c:pivotFmt>
        <c:idx val="7"/>
        <c:spPr>
          <a:solidFill>
            <a:srgbClr val="0150FF"/>
          </a:solidFill>
          <a:ln>
            <a:noFill/>
          </a:ln>
          <a:effectLst/>
        </c:spPr>
      </c:pivotFmt>
      <c:pivotFmt>
        <c:idx val="8"/>
        <c:spPr>
          <a:solidFill>
            <a:srgbClr val="5D8FFF"/>
          </a:solidFill>
          <a:ln>
            <a:noFill/>
          </a:ln>
          <a:effectLst/>
        </c:spPr>
      </c:pivotFmt>
      <c:pivotFmt>
        <c:idx val="9"/>
        <c:spPr>
          <a:solidFill>
            <a:srgbClr val="5D8FFF"/>
          </a:solidFill>
          <a:ln>
            <a:noFill/>
          </a:ln>
          <a:effectLst/>
        </c:spPr>
      </c:pivotFmt>
      <c:pivotFmt>
        <c:idx val="10"/>
        <c:spPr>
          <a:solidFill>
            <a:schemeClr val="accent1"/>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36B0"/>
          </a:solidFill>
          <a:ln w="3175">
            <a:solidFill>
              <a:schemeClr val="bg1"/>
            </a:solidFill>
          </a:ln>
          <a:effectLst/>
        </c:spPr>
      </c:pivotFmt>
      <c:pivotFmt>
        <c:idx val="12"/>
        <c:spPr>
          <a:solidFill>
            <a:srgbClr val="0150FF"/>
          </a:solidFill>
          <a:ln w="3175">
            <a:solidFill>
              <a:schemeClr val="bg1"/>
            </a:solidFill>
          </a:ln>
          <a:effectLst/>
        </c:spPr>
      </c:pivotFmt>
      <c:pivotFmt>
        <c:idx val="13"/>
        <c:spPr>
          <a:solidFill>
            <a:srgbClr val="5D8FFF"/>
          </a:solidFill>
          <a:ln w="3175">
            <a:solidFill>
              <a:schemeClr val="bg1"/>
            </a:solidFill>
          </a:ln>
          <a:effectLst/>
        </c:spPr>
      </c:pivotFmt>
      <c:pivotFmt>
        <c:idx val="14"/>
        <c:spPr>
          <a:solidFill>
            <a:srgbClr val="5D8FFF"/>
          </a:solidFill>
          <a:ln w="3175">
            <a:solidFill>
              <a:schemeClr val="bg1"/>
            </a:solidFill>
          </a:ln>
          <a:effectLst/>
        </c:spPr>
      </c:pivotFmt>
      <c:pivotFmt>
        <c:idx val="15"/>
        <c:spPr>
          <a:solidFill>
            <a:schemeClr val="accent1"/>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036B0"/>
          </a:solidFill>
          <a:ln w="3175">
            <a:solidFill>
              <a:schemeClr val="bg1"/>
            </a:solidFill>
          </a:ln>
          <a:effectLst/>
        </c:spPr>
      </c:pivotFmt>
      <c:pivotFmt>
        <c:idx val="17"/>
        <c:spPr>
          <a:solidFill>
            <a:srgbClr val="0150FF"/>
          </a:solidFill>
          <a:ln w="3175">
            <a:solidFill>
              <a:schemeClr val="bg1"/>
            </a:solidFill>
          </a:ln>
          <a:effectLst/>
        </c:spPr>
      </c:pivotFmt>
      <c:pivotFmt>
        <c:idx val="18"/>
        <c:spPr>
          <a:solidFill>
            <a:srgbClr val="5D8FFF"/>
          </a:solidFill>
          <a:ln w="3175">
            <a:solidFill>
              <a:schemeClr val="bg1"/>
            </a:solidFill>
          </a:ln>
          <a:effectLst/>
        </c:spPr>
      </c:pivotFmt>
      <c:pivotFmt>
        <c:idx val="19"/>
        <c:spPr>
          <a:solidFill>
            <a:srgbClr val="5D8FFF"/>
          </a:solidFill>
          <a:ln w="3175">
            <a:solidFill>
              <a:schemeClr val="bg1"/>
            </a:solidFill>
          </a:ln>
          <a:effectLst/>
        </c:spPr>
      </c:pivotFmt>
      <c:pivotFmt>
        <c:idx val="20"/>
        <c:spPr>
          <a:solidFill>
            <a:schemeClr val="accent1"/>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0036B0"/>
          </a:solidFill>
          <a:ln w="3175">
            <a:solidFill>
              <a:schemeClr val="bg1"/>
            </a:solidFill>
          </a:ln>
          <a:effectLst/>
        </c:spPr>
      </c:pivotFmt>
      <c:pivotFmt>
        <c:idx val="22"/>
        <c:spPr>
          <a:solidFill>
            <a:srgbClr val="0150FF"/>
          </a:solidFill>
          <a:ln w="3175">
            <a:solidFill>
              <a:schemeClr val="bg1"/>
            </a:solidFill>
          </a:ln>
          <a:effectLst/>
        </c:spPr>
      </c:pivotFmt>
      <c:pivotFmt>
        <c:idx val="23"/>
        <c:spPr>
          <a:solidFill>
            <a:srgbClr val="5D8FFF"/>
          </a:solidFill>
          <a:ln w="3175">
            <a:solidFill>
              <a:schemeClr val="bg1"/>
            </a:solidFill>
          </a:ln>
          <a:effectLst/>
        </c:spPr>
      </c:pivotFmt>
      <c:pivotFmt>
        <c:idx val="24"/>
        <c:spPr>
          <a:solidFill>
            <a:srgbClr val="5D8FFF"/>
          </a:solidFill>
          <a:ln w="3175">
            <a:solidFill>
              <a:schemeClr val="bg1"/>
            </a:solidFill>
          </a:ln>
          <a:effectLst/>
        </c:spPr>
      </c:pivotFmt>
      <c:pivotFmt>
        <c:idx val="25"/>
        <c:spPr>
          <a:solidFill>
            <a:schemeClr val="accent1"/>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0036B0"/>
          </a:solidFill>
          <a:ln w="3175">
            <a:solidFill>
              <a:schemeClr val="bg1"/>
            </a:solidFill>
          </a:ln>
          <a:effectLst/>
        </c:spPr>
      </c:pivotFmt>
      <c:pivotFmt>
        <c:idx val="27"/>
        <c:spPr>
          <a:solidFill>
            <a:srgbClr val="0150FF"/>
          </a:solidFill>
          <a:ln w="3175">
            <a:solidFill>
              <a:schemeClr val="bg1"/>
            </a:solidFill>
          </a:ln>
          <a:effectLst/>
        </c:spPr>
      </c:pivotFmt>
      <c:pivotFmt>
        <c:idx val="28"/>
        <c:spPr>
          <a:solidFill>
            <a:srgbClr val="5D8FFF"/>
          </a:solidFill>
          <a:ln w="3175">
            <a:solidFill>
              <a:schemeClr val="bg1"/>
            </a:solidFill>
          </a:ln>
          <a:effectLst/>
        </c:spPr>
      </c:pivotFmt>
      <c:pivotFmt>
        <c:idx val="29"/>
        <c:spPr>
          <a:solidFill>
            <a:srgbClr val="5D8FFF"/>
          </a:solidFill>
          <a:ln w="3175">
            <a:solidFill>
              <a:schemeClr val="bg1"/>
            </a:solidFill>
          </a:ln>
          <a:effectLst/>
        </c:spPr>
      </c:pivotFmt>
    </c:pivotFmts>
    <c:plotArea>
      <c:layout/>
      <c:barChart>
        <c:barDir val="bar"/>
        <c:grouping val="clustered"/>
        <c:varyColors val="0"/>
        <c:ser>
          <c:idx val="0"/>
          <c:order val="0"/>
          <c:tx>
            <c:strRef>
              <c:f>'Pivot tables'!$D$3</c:f>
              <c:strCache>
                <c:ptCount val="1"/>
                <c:pt idx="0">
                  <c:v>Total</c:v>
                </c:pt>
              </c:strCache>
            </c:strRef>
          </c:tx>
          <c:spPr>
            <a:solidFill>
              <a:schemeClr val="accent1"/>
            </a:solidFill>
            <a:ln w="3175">
              <a:solidFill>
                <a:schemeClr val="bg1"/>
              </a:solidFill>
            </a:ln>
            <a:effectLst/>
          </c:spPr>
          <c:invertIfNegative val="0"/>
          <c:dPt>
            <c:idx val="0"/>
            <c:invertIfNegative val="0"/>
            <c:bubble3D val="0"/>
            <c:spPr>
              <a:solidFill>
                <a:srgbClr val="0036B0"/>
              </a:solidFill>
              <a:ln w="3175">
                <a:solidFill>
                  <a:schemeClr val="bg1"/>
                </a:solidFill>
              </a:ln>
              <a:effectLst/>
            </c:spPr>
            <c:extLst>
              <c:ext xmlns:c16="http://schemas.microsoft.com/office/drawing/2014/chart" uri="{C3380CC4-5D6E-409C-BE32-E72D297353CC}">
                <c16:uniqueId val="{00000001-F685-4E06-83D9-C8F11DE8B1B6}"/>
              </c:ext>
            </c:extLst>
          </c:dPt>
          <c:dPt>
            <c:idx val="1"/>
            <c:invertIfNegative val="0"/>
            <c:bubble3D val="0"/>
            <c:spPr>
              <a:solidFill>
                <a:srgbClr val="0150FF"/>
              </a:solidFill>
              <a:ln w="3175">
                <a:solidFill>
                  <a:schemeClr val="bg1"/>
                </a:solidFill>
              </a:ln>
              <a:effectLst/>
            </c:spPr>
            <c:extLst>
              <c:ext xmlns:c16="http://schemas.microsoft.com/office/drawing/2014/chart" uri="{C3380CC4-5D6E-409C-BE32-E72D297353CC}">
                <c16:uniqueId val="{00000003-F685-4E06-83D9-C8F11DE8B1B6}"/>
              </c:ext>
            </c:extLst>
          </c:dPt>
          <c:dPt>
            <c:idx val="2"/>
            <c:invertIfNegative val="0"/>
            <c:bubble3D val="0"/>
            <c:spPr>
              <a:solidFill>
                <a:srgbClr val="5D8FFF"/>
              </a:solidFill>
              <a:ln w="3175">
                <a:solidFill>
                  <a:schemeClr val="bg1"/>
                </a:solidFill>
              </a:ln>
              <a:effectLst/>
            </c:spPr>
            <c:extLst>
              <c:ext xmlns:c16="http://schemas.microsoft.com/office/drawing/2014/chart" uri="{C3380CC4-5D6E-409C-BE32-E72D297353CC}">
                <c16:uniqueId val="{00000005-F685-4E06-83D9-C8F11DE8B1B6}"/>
              </c:ext>
            </c:extLst>
          </c:dPt>
          <c:dPt>
            <c:idx val="3"/>
            <c:invertIfNegative val="0"/>
            <c:bubble3D val="0"/>
            <c:spPr>
              <a:solidFill>
                <a:srgbClr val="5D8FFF"/>
              </a:solidFill>
              <a:ln w="3175">
                <a:solidFill>
                  <a:schemeClr val="bg1"/>
                </a:solidFill>
              </a:ln>
              <a:effectLst/>
            </c:spPr>
            <c:extLst>
              <c:ext xmlns:c16="http://schemas.microsoft.com/office/drawing/2014/chart" uri="{C3380CC4-5D6E-409C-BE32-E72D297353CC}">
                <c16:uniqueId val="{00000007-F685-4E06-83D9-C8F11DE8B1B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tables'!$C$4:$C$8</c:f>
              <c:strCache>
                <c:ptCount val="4"/>
                <c:pt idx="0">
                  <c:v>West</c:v>
                </c:pt>
                <c:pt idx="1">
                  <c:v>South</c:v>
                </c:pt>
                <c:pt idx="2">
                  <c:v>East</c:v>
                </c:pt>
                <c:pt idx="3">
                  <c:v>North</c:v>
                </c:pt>
              </c:strCache>
            </c:strRef>
          </c:cat>
          <c:val>
            <c:numRef>
              <c:f>'Pivot tables'!$D$4:$D$8</c:f>
              <c:numCache>
                <c:formatCode>General</c:formatCode>
                <c:ptCount val="4"/>
                <c:pt idx="0">
                  <c:v>18563</c:v>
                </c:pt>
                <c:pt idx="1">
                  <c:v>18634</c:v>
                </c:pt>
                <c:pt idx="2">
                  <c:v>38591</c:v>
                </c:pt>
                <c:pt idx="3">
                  <c:v>39435</c:v>
                </c:pt>
              </c:numCache>
            </c:numRef>
          </c:val>
          <c:extLst>
            <c:ext xmlns:c16="http://schemas.microsoft.com/office/drawing/2014/chart" uri="{C3380CC4-5D6E-409C-BE32-E72D297353CC}">
              <c16:uniqueId val="{00000008-F685-4E06-83D9-C8F11DE8B1B6}"/>
            </c:ext>
          </c:extLst>
        </c:ser>
        <c:dLbls>
          <c:dLblPos val="outEnd"/>
          <c:showLegendKey val="0"/>
          <c:showVal val="1"/>
          <c:showCatName val="0"/>
          <c:showSerName val="0"/>
          <c:showPercent val="0"/>
          <c:showBubbleSize val="0"/>
        </c:dLbls>
        <c:gapWidth val="182"/>
        <c:axId val="1650449439"/>
        <c:axId val="1621600927"/>
      </c:barChart>
      <c:catAx>
        <c:axId val="1650449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21600927"/>
        <c:crosses val="autoZero"/>
        <c:auto val="1"/>
        <c:lblAlgn val="ctr"/>
        <c:lblOffset val="100"/>
        <c:noMultiLvlLbl val="0"/>
      </c:catAx>
      <c:valAx>
        <c:axId val="16216009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50449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00B0F0"/>
        </a:gs>
        <a:gs pos="46000">
          <a:schemeClr val="tx2">
            <a:lumMod val="75000"/>
          </a:schemeClr>
        </a:gs>
        <a:gs pos="100000">
          <a:schemeClr val="tx2">
            <a:lumMod val="50000"/>
          </a:schemeClr>
        </a:gs>
      </a:gsLst>
      <a:path path="rect">
        <a:fillToRect l="100000" t="10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[Month1_Week4_Practice(AutoRecovered).xlsx]Sheet1!PivotTable1</c:name>
    <c:fmtId val="5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Revenue</a:t>
            </a:r>
            <a:r>
              <a:rPr lang="en-US" baseline="0">
                <a:solidFill>
                  <a:schemeClr val="bg1"/>
                </a:solidFill>
              </a:rPr>
              <a:t> By Category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1E8FF"/>
          </a:solidFill>
          <a:ln w="44450" cap="rnd">
            <a:solidFill>
              <a:srgbClr val="D1E8FF"/>
            </a:solidFill>
            <a:bevel/>
          </a:ln>
          <a:effectLst/>
          <a:sp3d contourW="44450">
            <a:contourClr>
              <a:srgbClr val="D1E8FF"/>
            </a:contourClr>
          </a:sp3d>
        </c:spPr>
      </c:pivotFmt>
      <c:pivotFmt>
        <c:idx val="2"/>
        <c:spPr>
          <a:solidFill>
            <a:srgbClr val="1960FF"/>
          </a:solidFill>
          <a:ln w="28575" cap="rnd" cmpd="sng">
            <a:solidFill>
              <a:srgbClr val="1960FF"/>
            </a:solidFill>
            <a:bevel/>
          </a:ln>
          <a:effectLst/>
          <a:sp3d contourW="28575">
            <a:contourClr>
              <a:srgbClr val="1960FF"/>
            </a:contourClr>
          </a:sp3d>
        </c:spPr>
      </c:pivotFmt>
      <c:pivotFmt>
        <c:idx val="3"/>
        <c:spPr>
          <a:solidFill>
            <a:srgbClr val="0036B0"/>
          </a:solidFill>
          <a:ln w="15875" cap="rnd">
            <a:solidFill>
              <a:srgbClr val="0036B0"/>
            </a:solidFill>
            <a:bevel/>
          </a:ln>
          <a:effectLst/>
          <a:sp3d contourW="15875">
            <a:contourClr>
              <a:srgbClr val="0036B0"/>
            </a:contourClr>
          </a:sp3d>
        </c:spPr>
      </c:pivotFmt>
      <c:pivotFmt>
        <c:idx val="4"/>
        <c:spPr>
          <a:solidFill>
            <a:srgbClr val="5D8FFF"/>
          </a:solidFill>
          <a:ln w="31750" cap="rnd">
            <a:solidFill>
              <a:srgbClr val="5D8FFF"/>
            </a:solidFill>
            <a:bevel/>
          </a:ln>
          <a:effectLst/>
          <a:sp3d contourW="31750">
            <a:contourClr>
              <a:srgbClr val="5D8FFF"/>
            </a:contourClr>
          </a:sp3d>
        </c:spPr>
      </c:pivotFmt>
      <c:pivotFmt>
        <c:idx val="5"/>
        <c:spPr>
          <a:solidFill>
            <a:srgbClr val="9FBDFF"/>
          </a:solidFill>
          <a:ln w="31750" cap="rnd">
            <a:solidFill>
              <a:srgbClr val="9FBDFF"/>
            </a:solidFill>
            <a:bevel/>
          </a:ln>
          <a:effectLst/>
          <a:sp3d contourW="31750">
            <a:contourClr>
              <a:srgbClr val="9FBDFF"/>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1E8FF"/>
          </a:solidFill>
          <a:ln w="44450" cap="rnd">
            <a:solidFill>
              <a:srgbClr val="D1E8FF"/>
            </a:solidFill>
            <a:bevel/>
          </a:ln>
          <a:effectLst/>
          <a:sp3d contourW="44450">
            <a:contourClr>
              <a:srgbClr val="D1E8FF"/>
            </a:contourClr>
          </a:sp3d>
        </c:spPr>
      </c:pivotFmt>
      <c:pivotFmt>
        <c:idx val="8"/>
        <c:spPr>
          <a:solidFill>
            <a:srgbClr val="9FBDFF"/>
          </a:solidFill>
          <a:ln w="31750" cap="rnd">
            <a:solidFill>
              <a:srgbClr val="9FBDFF"/>
            </a:solidFill>
            <a:bevel/>
          </a:ln>
          <a:effectLst/>
          <a:sp3d contourW="31750">
            <a:contourClr>
              <a:srgbClr val="9FBDFF"/>
            </a:contourClr>
          </a:sp3d>
        </c:spPr>
      </c:pivotFmt>
      <c:pivotFmt>
        <c:idx val="9"/>
        <c:spPr>
          <a:solidFill>
            <a:srgbClr val="5D8FFF"/>
          </a:solidFill>
          <a:ln w="31750" cap="rnd">
            <a:solidFill>
              <a:srgbClr val="5D8FFF"/>
            </a:solidFill>
            <a:bevel/>
          </a:ln>
          <a:effectLst/>
          <a:sp3d contourW="31750">
            <a:contourClr>
              <a:srgbClr val="5D8FFF"/>
            </a:contourClr>
          </a:sp3d>
        </c:spPr>
      </c:pivotFmt>
      <c:pivotFmt>
        <c:idx val="10"/>
        <c:spPr>
          <a:solidFill>
            <a:srgbClr val="1960FF"/>
          </a:solidFill>
          <a:ln w="28575" cap="rnd" cmpd="sng">
            <a:solidFill>
              <a:srgbClr val="1960FF"/>
            </a:solidFill>
            <a:bevel/>
          </a:ln>
          <a:effectLst/>
          <a:sp3d contourW="28575">
            <a:contourClr>
              <a:srgbClr val="1960FF"/>
            </a:contourClr>
          </a:sp3d>
        </c:spPr>
      </c:pivotFmt>
      <c:pivotFmt>
        <c:idx val="11"/>
        <c:spPr>
          <a:solidFill>
            <a:srgbClr val="0036B0"/>
          </a:solidFill>
          <a:ln w="15875" cap="rnd">
            <a:solidFill>
              <a:srgbClr val="0036B0"/>
            </a:solidFill>
            <a:bevel/>
          </a:ln>
          <a:effectLst/>
          <a:sp3d contourW="15875">
            <a:contourClr>
              <a:srgbClr val="0036B0"/>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D1E8FF"/>
          </a:solidFill>
          <a:ln w="44450" cap="rnd">
            <a:solidFill>
              <a:srgbClr val="D1E8FF"/>
            </a:solidFill>
            <a:bevel/>
          </a:ln>
          <a:effectLst/>
          <a:sp3d contourW="44450">
            <a:contourClr>
              <a:srgbClr val="D1E8FF"/>
            </a:contourClr>
          </a:sp3d>
        </c:spPr>
      </c:pivotFmt>
      <c:pivotFmt>
        <c:idx val="14"/>
        <c:spPr>
          <a:solidFill>
            <a:srgbClr val="9FBDFF"/>
          </a:solidFill>
          <a:ln w="31750" cap="rnd">
            <a:solidFill>
              <a:srgbClr val="9FBDFF"/>
            </a:solidFill>
            <a:bevel/>
          </a:ln>
          <a:effectLst/>
          <a:sp3d contourW="31750">
            <a:contourClr>
              <a:srgbClr val="9FBDFF"/>
            </a:contourClr>
          </a:sp3d>
        </c:spPr>
      </c:pivotFmt>
      <c:pivotFmt>
        <c:idx val="15"/>
        <c:spPr>
          <a:solidFill>
            <a:srgbClr val="5D8FFF"/>
          </a:solidFill>
          <a:ln w="31750" cap="rnd">
            <a:solidFill>
              <a:srgbClr val="5D8FFF"/>
            </a:solidFill>
            <a:bevel/>
          </a:ln>
          <a:effectLst/>
          <a:sp3d contourW="31750">
            <a:contourClr>
              <a:srgbClr val="5D8FFF"/>
            </a:contourClr>
          </a:sp3d>
        </c:spPr>
      </c:pivotFmt>
      <c:pivotFmt>
        <c:idx val="16"/>
        <c:spPr>
          <a:solidFill>
            <a:srgbClr val="1960FF"/>
          </a:solidFill>
          <a:ln w="28575" cap="rnd" cmpd="sng">
            <a:solidFill>
              <a:srgbClr val="1960FF"/>
            </a:solidFill>
            <a:bevel/>
          </a:ln>
          <a:effectLst/>
          <a:sp3d contourW="28575">
            <a:contourClr>
              <a:srgbClr val="1960FF"/>
            </a:contourClr>
          </a:sp3d>
        </c:spPr>
      </c:pivotFmt>
      <c:pivotFmt>
        <c:idx val="17"/>
        <c:spPr>
          <a:solidFill>
            <a:srgbClr val="0036B0"/>
          </a:solidFill>
          <a:ln w="15875" cap="rnd">
            <a:solidFill>
              <a:srgbClr val="0036B0"/>
            </a:solidFill>
            <a:bevel/>
          </a:ln>
          <a:effectLst/>
          <a:sp3d contourW="15875">
            <a:contourClr>
              <a:srgbClr val="0036B0"/>
            </a:contourClr>
          </a:sp3d>
        </c:spPr>
      </c:pivotFmt>
      <c:pivotFmt>
        <c:idx val="1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D1E8FF"/>
          </a:solidFill>
          <a:ln w="44450" cap="rnd">
            <a:solidFill>
              <a:srgbClr val="D1E8FF"/>
            </a:solidFill>
            <a:bevel/>
          </a:ln>
          <a:effectLst/>
          <a:sp3d contourW="44450">
            <a:contourClr>
              <a:srgbClr val="D1E8FF"/>
            </a:contourClr>
          </a:sp3d>
        </c:spPr>
      </c:pivotFmt>
      <c:pivotFmt>
        <c:idx val="20"/>
        <c:spPr>
          <a:solidFill>
            <a:srgbClr val="9FBDFF"/>
          </a:solidFill>
          <a:ln w="31750" cap="rnd">
            <a:solidFill>
              <a:srgbClr val="9FBDFF"/>
            </a:solidFill>
            <a:bevel/>
          </a:ln>
          <a:effectLst/>
          <a:sp3d contourW="31750">
            <a:contourClr>
              <a:srgbClr val="9FBDFF"/>
            </a:contourClr>
          </a:sp3d>
        </c:spPr>
      </c:pivotFmt>
      <c:pivotFmt>
        <c:idx val="21"/>
        <c:spPr>
          <a:solidFill>
            <a:srgbClr val="5D8FFF"/>
          </a:solidFill>
          <a:ln w="31750" cap="rnd">
            <a:solidFill>
              <a:srgbClr val="5D8FFF"/>
            </a:solidFill>
            <a:bevel/>
          </a:ln>
          <a:effectLst/>
          <a:sp3d contourW="31750">
            <a:contourClr>
              <a:srgbClr val="5D8FFF"/>
            </a:contourClr>
          </a:sp3d>
        </c:spPr>
      </c:pivotFmt>
      <c:pivotFmt>
        <c:idx val="22"/>
        <c:spPr>
          <a:solidFill>
            <a:srgbClr val="1960FF"/>
          </a:solidFill>
          <a:ln w="28575" cap="rnd" cmpd="sng">
            <a:solidFill>
              <a:srgbClr val="1960FF"/>
            </a:solidFill>
            <a:bevel/>
          </a:ln>
          <a:effectLst/>
          <a:sp3d contourW="28575">
            <a:contourClr>
              <a:srgbClr val="1960FF"/>
            </a:contourClr>
          </a:sp3d>
        </c:spPr>
      </c:pivotFmt>
      <c:pivotFmt>
        <c:idx val="23"/>
        <c:spPr>
          <a:solidFill>
            <a:srgbClr val="0036B0"/>
          </a:solidFill>
          <a:ln w="15875" cap="rnd">
            <a:solidFill>
              <a:srgbClr val="0036B0"/>
            </a:solidFill>
            <a:bevel/>
          </a:ln>
          <a:effectLst/>
          <a:sp3d contourW="15875">
            <a:contourClr>
              <a:srgbClr val="0036B0"/>
            </a:contourClr>
          </a:sp3d>
        </c:spPr>
      </c:pivotFmt>
      <c:pivotFmt>
        <c:idx val="2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D1E8FF"/>
          </a:solidFill>
          <a:ln w="44450" cap="rnd">
            <a:solidFill>
              <a:srgbClr val="D1E8FF"/>
            </a:solidFill>
            <a:bevel/>
          </a:ln>
          <a:effectLst/>
          <a:sp3d contourW="44450">
            <a:contourClr>
              <a:srgbClr val="D1E8FF"/>
            </a:contourClr>
          </a:sp3d>
        </c:spPr>
      </c:pivotFmt>
      <c:pivotFmt>
        <c:idx val="26"/>
        <c:spPr>
          <a:solidFill>
            <a:srgbClr val="9FBDFF"/>
          </a:solidFill>
          <a:ln w="31750" cap="rnd">
            <a:solidFill>
              <a:srgbClr val="9FBDFF"/>
            </a:solidFill>
            <a:bevel/>
          </a:ln>
          <a:effectLst/>
          <a:sp3d contourW="31750">
            <a:contourClr>
              <a:srgbClr val="9FBDFF"/>
            </a:contourClr>
          </a:sp3d>
        </c:spPr>
      </c:pivotFmt>
      <c:pivotFmt>
        <c:idx val="27"/>
        <c:spPr>
          <a:solidFill>
            <a:srgbClr val="5D8FFF"/>
          </a:solidFill>
          <a:ln w="31750" cap="rnd">
            <a:solidFill>
              <a:srgbClr val="5D8FFF"/>
            </a:solidFill>
            <a:bevel/>
          </a:ln>
          <a:effectLst/>
          <a:sp3d contourW="31750">
            <a:contourClr>
              <a:srgbClr val="5D8FFF"/>
            </a:contourClr>
          </a:sp3d>
        </c:spPr>
      </c:pivotFmt>
      <c:pivotFmt>
        <c:idx val="28"/>
        <c:spPr>
          <a:solidFill>
            <a:srgbClr val="1960FF"/>
          </a:solidFill>
          <a:ln w="28575" cap="rnd" cmpd="sng">
            <a:solidFill>
              <a:srgbClr val="1960FF"/>
            </a:solidFill>
            <a:bevel/>
          </a:ln>
          <a:effectLst/>
          <a:sp3d contourW="28575">
            <a:contourClr>
              <a:srgbClr val="1960FF"/>
            </a:contourClr>
          </a:sp3d>
        </c:spPr>
      </c:pivotFmt>
      <c:pivotFmt>
        <c:idx val="29"/>
        <c:spPr>
          <a:solidFill>
            <a:srgbClr val="0036B0"/>
          </a:solidFill>
          <a:ln w="15875" cap="rnd">
            <a:solidFill>
              <a:srgbClr val="0036B0"/>
            </a:solidFill>
            <a:bevel/>
          </a:ln>
          <a:effectLst/>
          <a:sp3d contourW="15875">
            <a:contourClr>
              <a:srgbClr val="0036B0"/>
            </a:contourClr>
          </a:sp3d>
        </c:spPr>
      </c:pivotFmt>
      <c:pivotFmt>
        <c:idx val="3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D1E8FF"/>
          </a:solidFill>
          <a:ln w="44450" cap="rnd">
            <a:solidFill>
              <a:srgbClr val="D1E8FF"/>
            </a:solidFill>
            <a:bevel/>
          </a:ln>
          <a:effectLst/>
          <a:sp3d contourW="44450">
            <a:contourClr>
              <a:srgbClr val="D1E8FF"/>
            </a:contourClr>
          </a:sp3d>
        </c:spPr>
      </c:pivotFmt>
      <c:pivotFmt>
        <c:idx val="32"/>
        <c:spPr>
          <a:solidFill>
            <a:srgbClr val="9FBDFF"/>
          </a:solidFill>
          <a:ln w="31750" cap="rnd">
            <a:solidFill>
              <a:srgbClr val="9FBDFF"/>
            </a:solidFill>
            <a:bevel/>
          </a:ln>
          <a:effectLst/>
          <a:sp3d contourW="31750">
            <a:contourClr>
              <a:srgbClr val="9FBDFF"/>
            </a:contourClr>
          </a:sp3d>
        </c:spPr>
      </c:pivotFmt>
      <c:pivotFmt>
        <c:idx val="33"/>
        <c:spPr>
          <a:solidFill>
            <a:srgbClr val="5D8FFF"/>
          </a:solidFill>
          <a:ln w="31750" cap="rnd">
            <a:solidFill>
              <a:srgbClr val="5D8FFF"/>
            </a:solidFill>
            <a:bevel/>
          </a:ln>
          <a:effectLst/>
          <a:sp3d contourW="31750">
            <a:contourClr>
              <a:srgbClr val="5D8FFF"/>
            </a:contourClr>
          </a:sp3d>
        </c:spPr>
      </c:pivotFmt>
      <c:pivotFmt>
        <c:idx val="34"/>
        <c:spPr>
          <a:solidFill>
            <a:srgbClr val="1960FF"/>
          </a:solidFill>
          <a:ln w="28575" cap="rnd" cmpd="sng">
            <a:solidFill>
              <a:srgbClr val="1960FF"/>
            </a:solidFill>
            <a:bevel/>
          </a:ln>
          <a:effectLst/>
          <a:sp3d contourW="28575">
            <a:contourClr>
              <a:srgbClr val="1960FF"/>
            </a:contourClr>
          </a:sp3d>
        </c:spPr>
      </c:pivotFmt>
      <c:pivotFmt>
        <c:idx val="35"/>
        <c:spPr>
          <a:solidFill>
            <a:srgbClr val="0036B0"/>
          </a:solidFill>
          <a:ln w="15875" cap="rnd">
            <a:solidFill>
              <a:srgbClr val="0036B0"/>
            </a:solidFill>
            <a:bevel/>
          </a:ln>
          <a:effectLst/>
          <a:sp3d contourW="15875">
            <a:contourClr>
              <a:srgbClr val="0036B0"/>
            </a:contourClr>
          </a:sp3d>
        </c:spPr>
      </c:pivotFmt>
      <c:pivotFmt>
        <c:idx val="3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D1E8FF"/>
          </a:solidFill>
          <a:ln w="44450" cap="rnd">
            <a:solidFill>
              <a:srgbClr val="D1E8FF"/>
            </a:solidFill>
            <a:bevel/>
          </a:ln>
          <a:effectLst/>
          <a:sp3d contourW="44450">
            <a:contourClr>
              <a:srgbClr val="D1E8FF"/>
            </a:contourClr>
          </a:sp3d>
        </c:spPr>
      </c:pivotFmt>
      <c:pivotFmt>
        <c:idx val="38"/>
        <c:spPr>
          <a:solidFill>
            <a:srgbClr val="9FBDFF"/>
          </a:solidFill>
          <a:ln w="31750" cap="rnd">
            <a:solidFill>
              <a:srgbClr val="9FBDFF"/>
            </a:solidFill>
            <a:bevel/>
          </a:ln>
          <a:effectLst/>
          <a:sp3d contourW="31750">
            <a:contourClr>
              <a:srgbClr val="9FBDFF"/>
            </a:contourClr>
          </a:sp3d>
        </c:spPr>
      </c:pivotFmt>
      <c:pivotFmt>
        <c:idx val="39"/>
        <c:spPr>
          <a:solidFill>
            <a:srgbClr val="5D8FFF"/>
          </a:solidFill>
          <a:ln w="31750" cap="rnd">
            <a:solidFill>
              <a:srgbClr val="5D8FFF"/>
            </a:solidFill>
            <a:bevel/>
          </a:ln>
          <a:effectLst/>
          <a:sp3d contourW="31750">
            <a:contourClr>
              <a:srgbClr val="5D8FFF"/>
            </a:contourClr>
          </a:sp3d>
        </c:spPr>
      </c:pivotFmt>
      <c:pivotFmt>
        <c:idx val="40"/>
        <c:spPr>
          <a:solidFill>
            <a:srgbClr val="1960FF"/>
          </a:solidFill>
          <a:ln w="28575" cap="rnd" cmpd="sng">
            <a:solidFill>
              <a:srgbClr val="1960FF"/>
            </a:solidFill>
            <a:bevel/>
          </a:ln>
          <a:effectLst/>
          <a:sp3d contourW="28575">
            <a:contourClr>
              <a:srgbClr val="1960FF"/>
            </a:contourClr>
          </a:sp3d>
        </c:spPr>
      </c:pivotFmt>
      <c:pivotFmt>
        <c:idx val="41"/>
        <c:spPr>
          <a:solidFill>
            <a:srgbClr val="0036B0"/>
          </a:solidFill>
          <a:ln w="15875" cap="rnd">
            <a:solidFill>
              <a:srgbClr val="0036B0"/>
            </a:solidFill>
            <a:bevel/>
          </a:ln>
          <a:effectLst/>
          <a:sp3d contourW="15875">
            <a:contourClr>
              <a:srgbClr val="0036B0"/>
            </a:contourClr>
          </a:sp3d>
        </c:spPr>
      </c:pivotFmt>
      <c:pivotFmt>
        <c:idx val="4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D1E8FF"/>
          </a:solidFill>
          <a:ln w="44450" cap="rnd">
            <a:solidFill>
              <a:srgbClr val="D1E8FF"/>
            </a:solidFill>
            <a:bevel/>
          </a:ln>
          <a:effectLst/>
          <a:sp3d contourW="44450">
            <a:contourClr>
              <a:srgbClr val="D1E8FF"/>
            </a:contourClr>
          </a:sp3d>
        </c:spPr>
      </c:pivotFmt>
      <c:pivotFmt>
        <c:idx val="44"/>
        <c:spPr>
          <a:solidFill>
            <a:srgbClr val="9FBDFF"/>
          </a:solidFill>
          <a:ln w="31750" cap="rnd">
            <a:solidFill>
              <a:srgbClr val="9FBDFF"/>
            </a:solidFill>
            <a:bevel/>
          </a:ln>
          <a:effectLst/>
          <a:sp3d contourW="31750">
            <a:contourClr>
              <a:srgbClr val="9FBDFF"/>
            </a:contourClr>
          </a:sp3d>
        </c:spPr>
      </c:pivotFmt>
      <c:pivotFmt>
        <c:idx val="45"/>
        <c:spPr>
          <a:solidFill>
            <a:srgbClr val="5D8FFF"/>
          </a:solidFill>
          <a:ln w="31750" cap="rnd">
            <a:solidFill>
              <a:srgbClr val="5D8FFF"/>
            </a:solidFill>
            <a:bevel/>
          </a:ln>
          <a:effectLst/>
          <a:sp3d contourW="31750">
            <a:contourClr>
              <a:srgbClr val="5D8FFF"/>
            </a:contourClr>
          </a:sp3d>
        </c:spPr>
      </c:pivotFmt>
      <c:pivotFmt>
        <c:idx val="46"/>
        <c:spPr>
          <a:solidFill>
            <a:srgbClr val="1960FF"/>
          </a:solidFill>
          <a:ln w="28575" cap="rnd" cmpd="sng">
            <a:solidFill>
              <a:srgbClr val="1960FF"/>
            </a:solidFill>
            <a:bevel/>
          </a:ln>
          <a:effectLst/>
          <a:sp3d contourW="28575">
            <a:contourClr>
              <a:srgbClr val="1960FF"/>
            </a:contourClr>
          </a:sp3d>
        </c:spPr>
      </c:pivotFmt>
      <c:pivotFmt>
        <c:idx val="47"/>
        <c:spPr>
          <a:solidFill>
            <a:srgbClr val="0036B0"/>
          </a:solidFill>
          <a:ln w="15875" cap="rnd">
            <a:solidFill>
              <a:srgbClr val="0036B0"/>
            </a:solidFill>
            <a:bevel/>
          </a:ln>
          <a:effectLst/>
          <a:sp3d contourW="15875">
            <a:contourClr>
              <a:srgbClr val="0036B0"/>
            </a:contourClr>
          </a:sp3d>
        </c:spPr>
      </c:pivotFmt>
      <c:pivotFmt>
        <c:idx val="4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18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Sheet1!$B$3</c:f>
              <c:strCache>
                <c:ptCount val="1"/>
                <c:pt idx="0">
                  <c:v>Total</c:v>
                </c:pt>
              </c:strCache>
            </c:strRef>
          </c:tx>
          <c:explosion val="6"/>
          <c:dPt>
            <c:idx val="0"/>
            <c:bubble3D val="0"/>
            <c:spPr>
              <a:solidFill>
                <a:srgbClr val="D1E8FF"/>
              </a:solidFill>
              <a:ln w="44450" cap="rnd">
                <a:solidFill>
                  <a:srgbClr val="D1E8FF"/>
                </a:solidFill>
                <a:bevel/>
              </a:ln>
              <a:effectLst/>
              <a:sp3d contourW="44450">
                <a:contourClr>
                  <a:srgbClr val="D1E8FF"/>
                </a:contourClr>
              </a:sp3d>
            </c:spPr>
            <c:extLst>
              <c:ext xmlns:c16="http://schemas.microsoft.com/office/drawing/2014/chart" uri="{C3380CC4-5D6E-409C-BE32-E72D297353CC}">
                <c16:uniqueId val="{00000001-B679-43F7-8E65-01E3FB8EDF3B}"/>
              </c:ext>
            </c:extLst>
          </c:dPt>
          <c:dPt>
            <c:idx val="1"/>
            <c:bubble3D val="0"/>
            <c:spPr>
              <a:solidFill>
                <a:srgbClr val="9FBDFF"/>
              </a:solidFill>
              <a:ln w="31750" cap="rnd">
                <a:solidFill>
                  <a:srgbClr val="9FBDFF"/>
                </a:solidFill>
                <a:bevel/>
              </a:ln>
              <a:effectLst/>
              <a:sp3d contourW="31750">
                <a:contourClr>
                  <a:srgbClr val="9FBDFF"/>
                </a:contourClr>
              </a:sp3d>
            </c:spPr>
            <c:extLst>
              <c:ext xmlns:c16="http://schemas.microsoft.com/office/drawing/2014/chart" uri="{C3380CC4-5D6E-409C-BE32-E72D297353CC}">
                <c16:uniqueId val="{00000003-B679-43F7-8E65-01E3FB8EDF3B}"/>
              </c:ext>
            </c:extLst>
          </c:dPt>
          <c:dPt>
            <c:idx val="2"/>
            <c:bubble3D val="0"/>
            <c:spPr>
              <a:solidFill>
                <a:srgbClr val="5D8FFF"/>
              </a:solidFill>
              <a:ln w="31750" cap="rnd">
                <a:solidFill>
                  <a:srgbClr val="5D8FFF"/>
                </a:solidFill>
                <a:bevel/>
              </a:ln>
              <a:effectLst/>
              <a:sp3d contourW="31750">
                <a:contourClr>
                  <a:srgbClr val="5D8FFF"/>
                </a:contourClr>
              </a:sp3d>
            </c:spPr>
            <c:extLst>
              <c:ext xmlns:c16="http://schemas.microsoft.com/office/drawing/2014/chart" uri="{C3380CC4-5D6E-409C-BE32-E72D297353CC}">
                <c16:uniqueId val="{00000005-B679-43F7-8E65-01E3FB8EDF3B}"/>
              </c:ext>
            </c:extLst>
          </c:dPt>
          <c:dPt>
            <c:idx val="3"/>
            <c:bubble3D val="0"/>
            <c:spPr>
              <a:solidFill>
                <a:srgbClr val="1960FF"/>
              </a:solidFill>
              <a:ln w="28575" cap="rnd" cmpd="sng">
                <a:solidFill>
                  <a:srgbClr val="1960FF"/>
                </a:solidFill>
                <a:bevel/>
              </a:ln>
              <a:effectLst/>
              <a:sp3d contourW="28575">
                <a:contourClr>
                  <a:srgbClr val="1960FF"/>
                </a:contourClr>
              </a:sp3d>
            </c:spPr>
            <c:extLst>
              <c:ext xmlns:c16="http://schemas.microsoft.com/office/drawing/2014/chart" uri="{C3380CC4-5D6E-409C-BE32-E72D297353CC}">
                <c16:uniqueId val="{00000007-B679-43F7-8E65-01E3FB8EDF3B}"/>
              </c:ext>
            </c:extLst>
          </c:dPt>
          <c:dPt>
            <c:idx val="4"/>
            <c:bubble3D val="0"/>
            <c:spPr>
              <a:solidFill>
                <a:srgbClr val="0036B0"/>
              </a:solidFill>
              <a:ln w="15875" cap="rnd">
                <a:solidFill>
                  <a:srgbClr val="0036B0"/>
                </a:solidFill>
                <a:bevel/>
              </a:ln>
              <a:effectLst/>
              <a:sp3d contourW="15875">
                <a:contourClr>
                  <a:srgbClr val="0036B0"/>
                </a:contourClr>
              </a:sp3d>
            </c:spPr>
            <c:extLst>
              <c:ext xmlns:c16="http://schemas.microsoft.com/office/drawing/2014/chart" uri="{C3380CC4-5D6E-409C-BE32-E72D297353CC}">
                <c16:uniqueId val="{00000009-B679-43F7-8E65-01E3FB8EDF3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Sheet1!$A$4:$A$9</c:f>
              <c:strCache>
                <c:ptCount val="5"/>
                <c:pt idx="0">
                  <c:v>Sports</c:v>
                </c:pt>
                <c:pt idx="1">
                  <c:v>Electronics</c:v>
                </c:pt>
                <c:pt idx="2">
                  <c:v>Home Appliances</c:v>
                </c:pt>
                <c:pt idx="3">
                  <c:v>Clothing</c:v>
                </c:pt>
                <c:pt idx="4">
                  <c:v>Beauty</c:v>
                </c:pt>
              </c:strCache>
            </c:strRef>
          </c:cat>
          <c:val>
            <c:numRef>
              <c:f>Sheet1!$B$4:$B$9</c:f>
              <c:numCache>
                <c:formatCode>General</c:formatCode>
                <c:ptCount val="5"/>
                <c:pt idx="0">
                  <c:v>47108</c:v>
                </c:pt>
                <c:pt idx="1">
                  <c:v>38960</c:v>
                </c:pt>
                <c:pt idx="2">
                  <c:v>19170</c:v>
                </c:pt>
                <c:pt idx="3">
                  <c:v>6694</c:v>
                </c:pt>
                <c:pt idx="4">
                  <c:v>3291</c:v>
                </c:pt>
              </c:numCache>
            </c:numRef>
          </c:val>
          <c:extLst>
            <c:ext xmlns:c16="http://schemas.microsoft.com/office/drawing/2014/chart" uri="{C3380CC4-5D6E-409C-BE32-E72D297353CC}">
              <c16:uniqueId val="{0000000A-B679-43F7-8E65-01E3FB8EDF3B}"/>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5253674540682414"/>
          <c:y val="0.33144648585593467"/>
          <c:w val="0.24627726969006622"/>
          <c:h val="0.542688559210361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00B0F0"/>
        </a:gs>
        <a:gs pos="46000">
          <a:schemeClr val="tx2">
            <a:lumMod val="75000"/>
          </a:schemeClr>
        </a:gs>
        <a:gs pos="100000">
          <a:schemeClr val="tx2">
            <a:lumMod val="50000"/>
          </a:schemeClr>
        </a:gs>
      </a:gsLst>
      <a:path path="rect">
        <a:fillToRect l="100000" t="10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[Month1_Week4_Practice(AutoRecovered).xlsx]Sheet1!PivotTable1</c:name>
    <c:fmtId val="4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Revenue</a:t>
            </a:r>
            <a:r>
              <a:rPr lang="en-US" baseline="0">
                <a:solidFill>
                  <a:schemeClr val="bg1"/>
                </a:solidFill>
              </a:rPr>
              <a:t> By Category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1E8FF"/>
          </a:solidFill>
          <a:ln w="44450" cap="rnd">
            <a:solidFill>
              <a:srgbClr val="D1E8FF"/>
            </a:solidFill>
            <a:bevel/>
          </a:ln>
          <a:effectLst/>
          <a:sp3d contourW="44450">
            <a:contourClr>
              <a:srgbClr val="D1E8FF"/>
            </a:contourClr>
          </a:sp3d>
        </c:spPr>
      </c:pivotFmt>
      <c:pivotFmt>
        <c:idx val="2"/>
        <c:spPr>
          <a:solidFill>
            <a:srgbClr val="1960FF"/>
          </a:solidFill>
          <a:ln w="28575" cap="rnd" cmpd="sng">
            <a:solidFill>
              <a:srgbClr val="1960FF"/>
            </a:solidFill>
            <a:bevel/>
          </a:ln>
          <a:effectLst/>
          <a:sp3d contourW="28575">
            <a:contourClr>
              <a:srgbClr val="1960FF"/>
            </a:contourClr>
          </a:sp3d>
        </c:spPr>
      </c:pivotFmt>
      <c:pivotFmt>
        <c:idx val="3"/>
        <c:spPr>
          <a:solidFill>
            <a:srgbClr val="0036B0"/>
          </a:solidFill>
          <a:ln w="15875" cap="rnd">
            <a:solidFill>
              <a:srgbClr val="0036B0"/>
            </a:solidFill>
            <a:bevel/>
          </a:ln>
          <a:effectLst/>
          <a:sp3d contourW="15875">
            <a:contourClr>
              <a:srgbClr val="0036B0"/>
            </a:contourClr>
          </a:sp3d>
        </c:spPr>
      </c:pivotFmt>
      <c:pivotFmt>
        <c:idx val="4"/>
        <c:spPr>
          <a:solidFill>
            <a:srgbClr val="5D8FFF"/>
          </a:solidFill>
          <a:ln w="31750" cap="rnd">
            <a:solidFill>
              <a:srgbClr val="5D8FFF"/>
            </a:solidFill>
            <a:bevel/>
          </a:ln>
          <a:effectLst/>
          <a:sp3d contourW="31750">
            <a:contourClr>
              <a:srgbClr val="5D8FFF"/>
            </a:contourClr>
          </a:sp3d>
        </c:spPr>
      </c:pivotFmt>
      <c:pivotFmt>
        <c:idx val="5"/>
        <c:spPr>
          <a:solidFill>
            <a:srgbClr val="9FBDFF"/>
          </a:solidFill>
          <a:ln w="31750" cap="rnd">
            <a:solidFill>
              <a:srgbClr val="9FBDFF"/>
            </a:solidFill>
            <a:bevel/>
          </a:ln>
          <a:effectLst/>
          <a:sp3d contourW="31750">
            <a:contourClr>
              <a:srgbClr val="9FBDFF"/>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1E8FF"/>
          </a:solidFill>
          <a:ln w="44450" cap="rnd">
            <a:solidFill>
              <a:srgbClr val="D1E8FF"/>
            </a:solidFill>
            <a:bevel/>
          </a:ln>
          <a:effectLst/>
          <a:sp3d contourW="44450">
            <a:contourClr>
              <a:srgbClr val="D1E8FF"/>
            </a:contourClr>
          </a:sp3d>
        </c:spPr>
      </c:pivotFmt>
      <c:pivotFmt>
        <c:idx val="8"/>
        <c:spPr>
          <a:solidFill>
            <a:srgbClr val="9FBDFF"/>
          </a:solidFill>
          <a:ln w="31750" cap="rnd">
            <a:solidFill>
              <a:srgbClr val="9FBDFF"/>
            </a:solidFill>
            <a:bevel/>
          </a:ln>
          <a:effectLst/>
          <a:sp3d contourW="31750">
            <a:contourClr>
              <a:srgbClr val="9FBDFF"/>
            </a:contourClr>
          </a:sp3d>
        </c:spPr>
      </c:pivotFmt>
      <c:pivotFmt>
        <c:idx val="9"/>
        <c:spPr>
          <a:solidFill>
            <a:srgbClr val="5D8FFF"/>
          </a:solidFill>
          <a:ln w="31750" cap="rnd">
            <a:solidFill>
              <a:srgbClr val="5D8FFF"/>
            </a:solidFill>
            <a:bevel/>
          </a:ln>
          <a:effectLst/>
          <a:sp3d contourW="31750">
            <a:contourClr>
              <a:srgbClr val="5D8FFF"/>
            </a:contourClr>
          </a:sp3d>
        </c:spPr>
      </c:pivotFmt>
      <c:pivotFmt>
        <c:idx val="10"/>
        <c:spPr>
          <a:solidFill>
            <a:srgbClr val="1960FF"/>
          </a:solidFill>
          <a:ln w="28575" cap="rnd" cmpd="sng">
            <a:solidFill>
              <a:srgbClr val="1960FF"/>
            </a:solidFill>
            <a:bevel/>
          </a:ln>
          <a:effectLst/>
          <a:sp3d contourW="28575">
            <a:contourClr>
              <a:srgbClr val="1960FF"/>
            </a:contourClr>
          </a:sp3d>
        </c:spPr>
      </c:pivotFmt>
      <c:pivotFmt>
        <c:idx val="11"/>
        <c:spPr>
          <a:solidFill>
            <a:srgbClr val="0036B0"/>
          </a:solidFill>
          <a:ln w="15875" cap="rnd">
            <a:solidFill>
              <a:srgbClr val="0036B0"/>
            </a:solidFill>
            <a:bevel/>
          </a:ln>
          <a:effectLst/>
          <a:sp3d contourW="15875">
            <a:contourClr>
              <a:srgbClr val="0036B0"/>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D1E8FF"/>
          </a:solidFill>
          <a:ln w="44450" cap="rnd">
            <a:solidFill>
              <a:srgbClr val="D1E8FF"/>
            </a:solidFill>
            <a:bevel/>
          </a:ln>
          <a:effectLst/>
          <a:sp3d contourW="44450">
            <a:contourClr>
              <a:srgbClr val="D1E8FF"/>
            </a:contourClr>
          </a:sp3d>
        </c:spPr>
      </c:pivotFmt>
      <c:pivotFmt>
        <c:idx val="14"/>
        <c:spPr>
          <a:solidFill>
            <a:srgbClr val="9FBDFF"/>
          </a:solidFill>
          <a:ln w="31750" cap="rnd">
            <a:solidFill>
              <a:srgbClr val="9FBDFF"/>
            </a:solidFill>
            <a:bevel/>
          </a:ln>
          <a:effectLst/>
          <a:sp3d contourW="31750">
            <a:contourClr>
              <a:srgbClr val="9FBDFF"/>
            </a:contourClr>
          </a:sp3d>
        </c:spPr>
      </c:pivotFmt>
      <c:pivotFmt>
        <c:idx val="15"/>
        <c:spPr>
          <a:solidFill>
            <a:srgbClr val="5D8FFF"/>
          </a:solidFill>
          <a:ln w="31750" cap="rnd">
            <a:solidFill>
              <a:srgbClr val="5D8FFF"/>
            </a:solidFill>
            <a:bevel/>
          </a:ln>
          <a:effectLst/>
          <a:sp3d contourW="31750">
            <a:contourClr>
              <a:srgbClr val="5D8FFF"/>
            </a:contourClr>
          </a:sp3d>
        </c:spPr>
      </c:pivotFmt>
      <c:pivotFmt>
        <c:idx val="16"/>
        <c:spPr>
          <a:solidFill>
            <a:srgbClr val="1960FF"/>
          </a:solidFill>
          <a:ln w="28575" cap="rnd" cmpd="sng">
            <a:solidFill>
              <a:srgbClr val="1960FF"/>
            </a:solidFill>
            <a:bevel/>
          </a:ln>
          <a:effectLst/>
          <a:sp3d contourW="28575">
            <a:contourClr>
              <a:srgbClr val="1960FF"/>
            </a:contourClr>
          </a:sp3d>
        </c:spPr>
      </c:pivotFmt>
      <c:pivotFmt>
        <c:idx val="17"/>
        <c:spPr>
          <a:solidFill>
            <a:srgbClr val="0036B0"/>
          </a:solidFill>
          <a:ln w="15875" cap="rnd">
            <a:solidFill>
              <a:srgbClr val="0036B0"/>
            </a:solidFill>
            <a:bevel/>
          </a:ln>
          <a:effectLst/>
          <a:sp3d contourW="15875">
            <a:contourClr>
              <a:srgbClr val="0036B0"/>
            </a:contourClr>
          </a:sp3d>
        </c:spPr>
      </c:pivotFmt>
      <c:pivotFmt>
        <c:idx val="1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D1E8FF"/>
          </a:solidFill>
          <a:ln w="44450" cap="rnd">
            <a:solidFill>
              <a:srgbClr val="D1E8FF"/>
            </a:solidFill>
            <a:bevel/>
          </a:ln>
          <a:effectLst/>
          <a:sp3d contourW="44450">
            <a:contourClr>
              <a:srgbClr val="D1E8FF"/>
            </a:contourClr>
          </a:sp3d>
        </c:spPr>
      </c:pivotFmt>
      <c:pivotFmt>
        <c:idx val="20"/>
        <c:spPr>
          <a:solidFill>
            <a:srgbClr val="9FBDFF"/>
          </a:solidFill>
          <a:ln w="31750" cap="rnd">
            <a:solidFill>
              <a:srgbClr val="9FBDFF"/>
            </a:solidFill>
            <a:bevel/>
          </a:ln>
          <a:effectLst/>
          <a:sp3d contourW="31750">
            <a:contourClr>
              <a:srgbClr val="9FBDFF"/>
            </a:contourClr>
          </a:sp3d>
        </c:spPr>
      </c:pivotFmt>
      <c:pivotFmt>
        <c:idx val="21"/>
        <c:spPr>
          <a:solidFill>
            <a:srgbClr val="5D8FFF"/>
          </a:solidFill>
          <a:ln w="31750" cap="rnd">
            <a:solidFill>
              <a:srgbClr val="5D8FFF"/>
            </a:solidFill>
            <a:bevel/>
          </a:ln>
          <a:effectLst/>
          <a:sp3d contourW="31750">
            <a:contourClr>
              <a:srgbClr val="5D8FFF"/>
            </a:contourClr>
          </a:sp3d>
        </c:spPr>
      </c:pivotFmt>
      <c:pivotFmt>
        <c:idx val="22"/>
        <c:spPr>
          <a:solidFill>
            <a:srgbClr val="1960FF"/>
          </a:solidFill>
          <a:ln w="28575" cap="rnd" cmpd="sng">
            <a:solidFill>
              <a:srgbClr val="1960FF"/>
            </a:solidFill>
            <a:bevel/>
          </a:ln>
          <a:effectLst/>
          <a:sp3d contourW="28575">
            <a:contourClr>
              <a:srgbClr val="1960FF"/>
            </a:contourClr>
          </a:sp3d>
        </c:spPr>
      </c:pivotFmt>
      <c:pivotFmt>
        <c:idx val="23"/>
        <c:spPr>
          <a:solidFill>
            <a:srgbClr val="0036B0"/>
          </a:solidFill>
          <a:ln w="15875" cap="rnd">
            <a:solidFill>
              <a:srgbClr val="0036B0"/>
            </a:solidFill>
            <a:bevel/>
          </a:ln>
          <a:effectLst/>
          <a:sp3d contourW="15875">
            <a:contourClr>
              <a:srgbClr val="0036B0"/>
            </a:contourClr>
          </a:sp3d>
        </c:spPr>
      </c:pivotFmt>
      <c:pivotFmt>
        <c:idx val="2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9FBDFF"/>
          </a:solidFill>
          <a:ln w="31750" cap="rnd">
            <a:solidFill>
              <a:srgbClr val="9FBDFF"/>
            </a:solidFill>
            <a:bevel/>
          </a:ln>
          <a:effectLst/>
          <a:sp3d contourW="31750">
            <a:contourClr>
              <a:srgbClr val="9FBDFF"/>
            </a:contourClr>
          </a:sp3d>
        </c:spPr>
      </c:pivotFmt>
      <c:pivotFmt>
        <c:idx val="26"/>
        <c:spPr>
          <a:solidFill>
            <a:srgbClr val="D1E8FF"/>
          </a:solidFill>
          <a:ln w="44450" cap="rnd">
            <a:solidFill>
              <a:srgbClr val="D1E8FF"/>
            </a:solidFill>
            <a:bevel/>
          </a:ln>
          <a:effectLst/>
          <a:sp3d contourW="44450">
            <a:contourClr>
              <a:srgbClr val="D1E8FF"/>
            </a:contourClr>
          </a:sp3d>
        </c:spPr>
      </c:pivotFmt>
      <c:pivotFmt>
        <c:idx val="27"/>
        <c:spPr>
          <a:solidFill>
            <a:srgbClr val="5D8FFF"/>
          </a:solidFill>
          <a:ln w="31750" cap="rnd">
            <a:solidFill>
              <a:srgbClr val="5D8FFF"/>
            </a:solidFill>
            <a:bevel/>
          </a:ln>
          <a:effectLst/>
          <a:sp3d contourW="31750">
            <a:contourClr>
              <a:srgbClr val="5D8FFF"/>
            </a:contourClr>
          </a:sp3d>
        </c:spPr>
      </c:pivotFmt>
      <c:pivotFmt>
        <c:idx val="28"/>
        <c:spPr>
          <a:solidFill>
            <a:srgbClr val="1960FF"/>
          </a:solidFill>
          <a:ln w="28575" cap="rnd" cmpd="sng">
            <a:solidFill>
              <a:srgbClr val="1960FF"/>
            </a:solidFill>
            <a:bevel/>
          </a:ln>
          <a:effectLst/>
          <a:sp3d contourW="28575">
            <a:contourClr>
              <a:srgbClr val="1960FF"/>
            </a:contourClr>
          </a:sp3d>
        </c:spPr>
      </c:pivotFmt>
      <c:pivotFmt>
        <c:idx val="29"/>
        <c:spPr>
          <a:solidFill>
            <a:srgbClr val="0036B0"/>
          </a:solidFill>
          <a:ln w="15875" cap="rnd">
            <a:solidFill>
              <a:srgbClr val="0036B0"/>
            </a:solidFill>
            <a:bevel/>
          </a:ln>
          <a:effectLst/>
          <a:sp3d contourW="15875">
            <a:contourClr>
              <a:srgbClr val="0036B0"/>
            </a:contourClr>
          </a:sp3d>
        </c:spPr>
      </c:pivotFmt>
      <c:pivotFmt>
        <c:idx val="3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18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Sheet1!$B$3</c:f>
              <c:strCache>
                <c:ptCount val="1"/>
                <c:pt idx="0">
                  <c:v>Total</c:v>
                </c:pt>
              </c:strCache>
            </c:strRef>
          </c:tx>
          <c:explosion val="6"/>
          <c:dPt>
            <c:idx val="0"/>
            <c:bubble3D val="0"/>
            <c:spPr>
              <a:solidFill>
                <a:srgbClr val="9FBDFF"/>
              </a:solidFill>
              <a:ln w="31750" cap="rnd">
                <a:solidFill>
                  <a:srgbClr val="9FBDFF"/>
                </a:solidFill>
                <a:bevel/>
              </a:ln>
              <a:effectLst/>
              <a:sp3d contourW="31750">
                <a:contourClr>
                  <a:srgbClr val="9FBDFF"/>
                </a:contourClr>
              </a:sp3d>
            </c:spPr>
            <c:extLst>
              <c:ext xmlns:c16="http://schemas.microsoft.com/office/drawing/2014/chart" uri="{C3380CC4-5D6E-409C-BE32-E72D297353CC}">
                <c16:uniqueId val="{00000001-9DB3-4860-9B0A-F3D0F36BE5CC}"/>
              </c:ext>
            </c:extLst>
          </c:dPt>
          <c:dPt>
            <c:idx val="1"/>
            <c:bubble3D val="0"/>
            <c:spPr>
              <a:solidFill>
                <a:srgbClr val="D1E8FF"/>
              </a:solidFill>
              <a:ln w="44450" cap="rnd">
                <a:solidFill>
                  <a:srgbClr val="D1E8FF"/>
                </a:solidFill>
                <a:bevel/>
              </a:ln>
              <a:effectLst/>
              <a:sp3d contourW="44450">
                <a:contourClr>
                  <a:srgbClr val="D1E8FF"/>
                </a:contourClr>
              </a:sp3d>
            </c:spPr>
            <c:extLst>
              <c:ext xmlns:c16="http://schemas.microsoft.com/office/drawing/2014/chart" uri="{C3380CC4-5D6E-409C-BE32-E72D297353CC}">
                <c16:uniqueId val="{00000003-9DB3-4860-9B0A-F3D0F36BE5CC}"/>
              </c:ext>
            </c:extLst>
          </c:dPt>
          <c:dPt>
            <c:idx val="2"/>
            <c:bubble3D val="0"/>
            <c:spPr>
              <a:solidFill>
                <a:srgbClr val="5D8FFF"/>
              </a:solidFill>
              <a:ln w="31750" cap="rnd">
                <a:solidFill>
                  <a:srgbClr val="5D8FFF"/>
                </a:solidFill>
                <a:bevel/>
              </a:ln>
              <a:effectLst/>
              <a:sp3d contourW="31750">
                <a:contourClr>
                  <a:srgbClr val="5D8FFF"/>
                </a:contourClr>
              </a:sp3d>
            </c:spPr>
            <c:extLst>
              <c:ext xmlns:c16="http://schemas.microsoft.com/office/drawing/2014/chart" uri="{C3380CC4-5D6E-409C-BE32-E72D297353CC}">
                <c16:uniqueId val="{00000005-9DB3-4860-9B0A-F3D0F36BE5CC}"/>
              </c:ext>
            </c:extLst>
          </c:dPt>
          <c:dPt>
            <c:idx val="3"/>
            <c:bubble3D val="0"/>
            <c:spPr>
              <a:solidFill>
                <a:srgbClr val="1960FF"/>
              </a:solidFill>
              <a:ln w="28575" cap="rnd" cmpd="sng">
                <a:solidFill>
                  <a:srgbClr val="1960FF"/>
                </a:solidFill>
                <a:bevel/>
              </a:ln>
              <a:effectLst/>
              <a:sp3d contourW="28575">
                <a:contourClr>
                  <a:srgbClr val="1960FF"/>
                </a:contourClr>
              </a:sp3d>
            </c:spPr>
            <c:extLst>
              <c:ext xmlns:c16="http://schemas.microsoft.com/office/drawing/2014/chart" uri="{C3380CC4-5D6E-409C-BE32-E72D297353CC}">
                <c16:uniqueId val="{00000007-9DB3-4860-9B0A-F3D0F36BE5CC}"/>
              </c:ext>
            </c:extLst>
          </c:dPt>
          <c:dPt>
            <c:idx val="4"/>
            <c:bubble3D val="0"/>
            <c:spPr>
              <a:solidFill>
                <a:srgbClr val="0036B0"/>
              </a:solidFill>
              <a:ln w="15875" cap="rnd">
                <a:solidFill>
                  <a:srgbClr val="0036B0"/>
                </a:solidFill>
                <a:bevel/>
              </a:ln>
              <a:effectLst/>
              <a:sp3d contourW="15875">
                <a:contourClr>
                  <a:srgbClr val="0036B0"/>
                </a:contourClr>
              </a:sp3d>
            </c:spPr>
            <c:extLst>
              <c:ext xmlns:c16="http://schemas.microsoft.com/office/drawing/2014/chart" uri="{C3380CC4-5D6E-409C-BE32-E72D297353CC}">
                <c16:uniqueId val="{00000009-9DB3-4860-9B0A-F3D0F36BE5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Sheet1!$A$4:$A$9</c:f>
              <c:strCache>
                <c:ptCount val="5"/>
                <c:pt idx="0">
                  <c:v>Sports</c:v>
                </c:pt>
                <c:pt idx="1">
                  <c:v>Electronics</c:v>
                </c:pt>
                <c:pt idx="2">
                  <c:v>Home Appliances</c:v>
                </c:pt>
                <c:pt idx="3">
                  <c:v>Clothing</c:v>
                </c:pt>
                <c:pt idx="4">
                  <c:v>Beauty</c:v>
                </c:pt>
              </c:strCache>
            </c:strRef>
          </c:cat>
          <c:val>
            <c:numRef>
              <c:f>Sheet1!$B$4:$B$9</c:f>
              <c:numCache>
                <c:formatCode>General</c:formatCode>
                <c:ptCount val="5"/>
                <c:pt idx="0">
                  <c:v>47108</c:v>
                </c:pt>
                <c:pt idx="1">
                  <c:v>38960</c:v>
                </c:pt>
                <c:pt idx="2">
                  <c:v>19170</c:v>
                </c:pt>
                <c:pt idx="3">
                  <c:v>6694</c:v>
                </c:pt>
                <c:pt idx="4">
                  <c:v>3291</c:v>
                </c:pt>
              </c:numCache>
            </c:numRef>
          </c:val>
          <c:extLst>
            <c:ext xmlns:c16="http://schemas.microsoft.com/office/drawing/2014/chart" uri="{C3380CC4-5D6E-409C-BE32-E72D297353CC}">
              <c16:uniqueId val="{0000000A-9DB3-4860-9B0A-F3D0F36BE5CC}"/>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5253674540682414"/>
          <c:y val="0.33144648585593467"/>
          <c:w val="0.22524103237095364"/>
          <c:h val="0.495765003058828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00B0F0"/>
        </a:gs>
        <a:gs pos="46000">
          <a:schemeClr val="tx2">
            <a:lumMod val="75000"/>
          </a:schemeClr>
        </a:gs>
        <a:gs pos="100000">
          <a:schemeClr val="tx2">
            <a:lumMod val="50000"/>
          </a:schemeClr>
        </a:gs>
      </a:gsLst>
      <a:path path="rect">
        <a:fillToRect l="100000" t="10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[Month1_Week4_Practice(AutoRecovered).xlsx]Pivot tables!PivotTable6</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Revenue</a:t>
            </a:r>
            <a:r>
              <a:rPr lang="en-US" baseline="0">
                <a:solidFill>
                  <a:schemeClr val="bg1"/>
                </a:solidFill>
              </a:rPr>
              <a:t> By Region</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D8FFF"/>
          </a:solidFill>
          <a:ln>
            <a:noFill/>
          </a:ln>
          <a:effectLst/>
        </c:spPr>
      </c:pivotFmt>
      <c:pivotFmt>
        <c:idx val="2"/>
        <c:spPr>
          <a:solidFill>
            <a:srgbClr val="5D8FFF"/>
          </a:solidFill>
          <a:ln>
            <a:noFill/>
          </a:ln>
          <a:effectLst/>
        </c:spPr>
      </c:pivotFmt>
      <c:pivotFmt>
        <c:idx val="3"/>
        <c:spPr>
          <a:solidFill>
            <a:srgbClr val="0150FF"/>
          </a:solidFill>
          <a:ln>
            <a:noFill/>
          </a:ln>
          <a:effectLst/>
        </c:spPr>
      </c:pivotFmt>
      <c:pivotFmt>
        <c:idx val="4"/>
        <c:spPr>
          <a:solidFill>
            <a:srgbClr val="0036B0"/>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36B0"/>
          </a:solidFill>
          <a:ln>
            <a:noFill/>
          </a:ln>
          <a:effectLst/>
        </c:spPr>
      </c:pivotFmt>
      <c:pivotFmt>
        <c:idx val="7"/>
        <c:spPr>
          <a:solidFill>
            <a:srgbClr val="0150FF"/>
          </a:solidFill>
          <a:ln>
            <a:noFill/>
          </a:ln>
          <a:effectLst/>
        </c:spPr>
      </c:pivotFmt>
      <c:pivotFmt>
        <c:idx val="8"/>
        <c:spPr>
          <a:solidFill>
            <a:srgbClr val="5D8FFF"/>
          </a:solidFill>
          <a:ln>
            <a:noFill/>
          </a:ln>
          <a:effectLst/>
        </c:spPr>
      </c:pivotFmt>
      <c:pivotFmt>
        <c:idx val="9"/>
        <c:spPr>
          <a:solidFill>
            <a:srgbClr val="5D8FFF"/>
          </a:solidFill>
          <a:ln>
            <a:noFill/>
          </a:ln>
          <a:effectLst/>
        </c:spPr>
      </c:pivotFmt>
      <c:pivotFmt>
        <c:idx val="10"/>
        <c:spPr>
          <a:solidFill>
            <a:schemeClr val="accent1"/>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36B0"/>
          </a:solidFill>
          <a:ln w="3175">
            <a:solidFill>
              <a:schemeClr val="bg1"/>
            </a:solidFill>
          </a:ln>
          <a:effectLst/>
        </c:spPr>
      </c:pivotFmt>
      <c:pivotFmt>
        <c:idx val="12"/>
        <c:spPr>
          <a:solidFill>
            <a:srgbClr val="0150FF"/>
          </a:solidFill>
          <a:ln w="3175">
            <a:solidFill>
              <a:schemeClr val="bg1"/>
            </a:solidFill>
          </a:ln>
          <a:effectLst/>
        </c:spPr>
      </c:pivotFmt>
      <c:pivotFmt>
        <c:idx val="13"/>
        <c:spPr>
          <a:solidFill>
            <a:srgbClr val="0036B0"/>
          </a:solidFill>
          <a:ln w="3175">
            <a:solidFill>
              <a:schemeClr val="bg1"/>
            </a:solidFill>
          </a:ln>
          <a:effectLst/>
        </c:spPr>
      </c:pivotFmt>
      <c:pivotFmt>
        <c:idx val="14"/>
        <c:spPr>
          <a:solidFill>
            <a:srgbClr val="0150FF"/>
          </a:solidFill>
          <a:ln w="3175">
            <a:solidFill>
              <a:schemeClr val="bg1"/>
            </a:solidFill>
          </a:ln>
          <a:effectLst/>
        </c:spPr>
      </c:pivotFmt>
    </c:pivotFmts>
    <c:plotArea>
      <c:layout/>
      <c:barChart>
        <c:barDir val="bar"/>
        <c:grouping val="clustered"/>
        <c:varyColors val="0"/>
        <c:ser>
          <c:idx val="0"/>
          <c:order val="0"/>
          <c:tx>
            <c:strRef>
              <c:f>'Pivot tables'!$D$3</c:f>
              <c:strCache>
                <c:ptCount val="1"/>
                <c:pt idx="0">
                  <c:v>Total</c:v>
                </c:pt>
              </c:strCache>
            </c:strRef>
          </c:tx>
          <c:spPr>
            <a:solidFill>
              <a:schemeClr val="accent1"/>
            </a:solidFill>
            <a:ln w="3175">
              <a:solidFill>
                <a:schemeClr val="bg1"/>
              </a:solidFill>
            </a:ln>
            <a:effectLst/>
          </c:spPr>
          <c:invertIfNegative val="0"/>
          <c:dPt>
            <c:idx val="0"/>
            <c:invertIfNegative val="0"/>
            <c:bubble3D val="0"/>
            <c:spPr>
              <a:solidFill>
                <a:srgbClr val="0036B0"/>
              </a:solidFill>
              <a:ln w="3175">
                <a:solidFill>
                  <a:schemeClr val="bg1"/>
                </a:solidFill>
              </a:ln>
              <a:effectLst/>
            </c:spPr>
            <c:extLst>
              <c:ext xmlns:c16="http://schemas.microsoft.com/office/drawing/2014/chart" uri="{C3380CC4-5D6E-409C-BE32-E72D297353CC}">
                <c16:uniqueId val="{00000001-8FD9-462C-801A-EAAA99AC1A35}"/>
              </c:ext>
            </c:extLst>
          </c:dPt>
          <c:dPt>
            <c:idx val="1"/>
            <c:invertIfNegative val="0"/>
            <c:bubble3D val="0"/>
            <c:spPr>
              <a:solidFill>
                <a:srgbClr val="0150FF"/>
              </a:solidFill>
              <a:ln w="3175">
                <a:solidFill>
                  <a:schemeClr val="bg1"/>
                </a:solidFill>
              </a:ln>
              <a:effectLst/>
            </c:spPr>
            <c:extLst>
              <c:ext xmlns:c16="http://schemas.microsoft.com/office/drawing/2014/chart" uri="{C3380CC4-5D6E-409C-BE32-E72D297353CC}">
                <c16:uniqueId val="{00000003-8FD9-462C-801A-EAAA99AC1A35}"/>
              </c:ext>
            </c:extLst>
          </c:dPt>
          <c:dPt>
            <c:idx val="2"/>
            <c:invertIfNegative val="0"/>
            <c:bubble3D val="0"/>
            <c:spPr>
              <a:solidFill>
                <a:srgbClr val="0036B0"/>
              </a:solidFill>
              <a:ln w="3175">
                <a:solidFill>
                  <a:schemeClr val="bg1"/>
                </a:solidFill>
              </a:ln>
              <a:effectLst/>
            </c:spPr>
            <c:extLst>
              <c:ext xmlns:c16="http://schemas.microsoft.com/office/drawing/2014/chart" uri="{C3380CC4-5D6E-409C-BE32-E72D297353CC}">
                <c16:uniqueId val="{00000005-8FD9-462C-801A-EAAA99AC1A35}"/>
              </c:ext>
            </c:extLst>
          </c:dPt>
          <c:dPt>
            <c:idx val="3"/>
            <c:invertIfNegative val="0"/>
            <c:bubble3D val="0"/>
            <c:spPr>
              <a:solidFill>
                <a:srgbClr val="0150FF"/>
              </a:solidFill>
              <a:ln w="3175">
                <a:solidFill>
                  <a:schemeClr val="bg1"/>
                </a:solidFill>
              </a:ln>
              <a:effectLst/>
            </c:spPr>
            <c:extLst>
              <c:ext xmlns:c16="http://schemas.microsoft.com/office/drawing/2014/chart" uri="{C3380CC4-5D6E-409C-BE32-E72D297353CC}">
                <c16:uniqueId val="{00000007-8FD9-462C-801A-EAAA99AC1A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tables'!$C$4:$C$8</c:f>
              <c:strCache>
                <c:ptCount val="4"/>
                <c:pt idx="0">
                  <c:v>West</c:v>
                </c:pt>
                <c:pt idx="1">
                  <c:v>South</c:v>
                </c:pt>
                <c:pt idx="2">
                  <c:v>East</c:v>
                </c:pt>
                <c:pt idx="3">
                  <c:v>North</c:v>
                </c:pt>
              </c:strCache>
            </c:strRef>
          </c:cat>
          <c:val>
            <c:numRef>
              <c:f>'Pivot tables'!$D$4:$D$8</c:f>
              <c:numCache>
                <c:formatCode>General</c:formatCode>
                <c:ptCount val="4"/>
                <c:pt idx="0">
                  <c:v>18563</c:v>
                </c:pt>
                <c:pt idx="1">
                  <c:v>18634</c:v>
                </c:pt>
                <c:pt idx="2">
                  <c:v>38591</c:v>
                </c:pt>
                <c:pt idx="3">
                  <c:v>39435</c:v>
                </c:pt>
              </c:numCache>
            </c:numRef>
          </c:val>
          <c:extLst>
            <c:ext xmlns:c16="http://schemas.microsoft.com/office/drawing/2014/chart" uri="{C3380CC4-5D6E-409C-BE32-E72D297353CC}">
              <c16:uniqueId val="{00000008-8FD9-462C-801A-EAAA99AC1A35}"/>
            </c:ext>
          </c:extLst>
        </c:ser>
        <c:dLbls>
          <c:dLblPos val="outEnd"/>
          <c:showLegendKey val="0"/>
          <c:showVal val="1"/>
          <c:showCatName val="0"/>
          <c:showSerName val="0"/>
          <c:showPercent val="0"/>
          <c:showBubbleSize val="0"/>
        </c:dLbls>
        <c:gapWidth val="182"/>
        <c:axId val="1650449439"/>
        <c:axId val="1621600927"/>
      </c:barChart>
      <c:catAx>
        <c:axId val="1650449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21600927"/>
        <c:crosses val="autoZero"/>
        <c:auto val="1"/>
        <c:lblAlgn val="ctr"/>
        <c:lblOffset val="100"/>
        <c:noMultiLvlLbl val="0"/>
      </c:catAx>
      <c:valAx>
        <c:axId val="16216009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50449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00B0F0"/>
        </a:gs>
        <a:gs pos="46000">
          <a:schemeClr val="tx2">
            <a:lumMod val="75000"/>
          </a:schemeClr>
        </a:gs>
        <a:gs pos="100000">
          <a:schemeClr val="tx2">
            <a:lumMod val="50000"/>
          </a:schemeClr>
        </a:gs>
      </a:gsLst>
      <a:path path="rect">
        <a:fillToRect l="100000" t="10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[Month1_Week4_Practice(AutoRecovered).xlsx]Pivot tables!PivotTable7</c:name>
    <c:fmtId val="1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a:t>
            </a:r>
            <a:r>
              <a:rPr lang="en-US" baseline="0">
                <a:solidFill>
                  <a:schemeClr val="bg1"/>
                </a:solidFill>
              </a:rPr>
              <a:t> 3 Sales Rep By Revenue</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1B4FF"/>
          </a:solidFill>
          <a:ln w="41275" cap="rnd">
            <a:solidFill>
              <a:srgbClr val="61B4FF"/>
            </a:solidFill>
            <a:bevel/>
          </a:ln>
          <a:effectLst/>
          <a:sp3d contourW="41275">
            <a:contourClr>
              <a:srgbClr val="61B4FF"/>
            </a:contourClr>
          </a:sp3d>
        </c:spPr>
      </c:pivotFmt>
      <c:pivotFmt>
        <c:idx val="2"/>
        <c:spPr>
          <a:solidFill>
            <a:srgbClr val="0081F6"/>
          </a:solidFill>
          <a:ln w="41275" cap="rnd">
            <a:solidFill>
              <a:srgbClr val="0081F6"/>
            </a:solidFill>
            <a:bevel/>
          </a:ln>
          <a:effectLst/>
          <a:sp3d contourW="41275">
            <a:contourClr>
              <a:srgbClr val="0081F6"/>
            </a:contourClr>
          </a:sp3d>
        </c:spPr>
      </c:pivotFmt>
      <c:pivotFmt>
        <c:idx val="3"/>
        <c:spPr>
          <a:solidFill>
            <a:srgbClr val="004F96"/>
          </a:solidFill>
          <a:ln w="41275" cap="rnd">
            <a:solidFill>
              <a:srgbClr val="004F96"/>
            </a:solidFill>
            <a:bevel/>
          </a:ln>
          <a:effectLst/>
          <a:sp3d contourW="41275">
            <a:contourClr>
              <a:srgbClr val="004F96"/>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1B4FF"/>
          </a:solidFill>
          <a:ln w="41275" cap="rnd">
            <a:solidFill>
              <a:srgbClr val="61B4FF"/>
            </a:solidFill>
            <a:bevel/>
          </a:ln>
          <a:effectLst/>
          <a:sp3d contourW="41275">
            <a:contourClr>
              <a:srgbClr val="61B4FF"/>
            </a:contourClr>
          </a:sp3d>
        </c:spPr>
      </c:pivotFmt>
      <c:pivotFmt>
        <c:idx val="6"/>
        <c:spPr>
          <a:solidFill>
            <a:srgbClr val="0081F6"/>
          </a:solidFill>
          <a:ln w="41275" cap="rnd">
            <a:solidFill>
              <a:srgbClr val="0081F6"/>
            </a:solidFill>
            <a:bevel/>
          </a:ln>
          <a:effectLst/>
          <a:sp3d contourW="41275">
            <a:contourClr>
              <a:srgbClr val="0081F6"/>
            </a:contourClr>
          </a:sp3d>
        </c:spPr>
      </c:pivotFmt>
      <c:pivotFmt>
        <c:idx val="7"/>
        <c:spPr>
          <a:solidFill>
            <a:srgbClr val="004F96"/>
          </a:solidFill>
          <a:ln w="41275" cap="rnd">
            <a:solidFill>
              <a:srgbClr val="004F96"/>
            </a:solidFill>
            <a:bevel/>
          </a:ln>
          <a:effectLst/>
          <a:sp3d contourW="41275">
            <a:contourClr>
              <a:srgbClr val="004F96"/>
            </a:contourClr>
          </a:sp3d>
        </c:spPr>
      </c:pivotFmt>
      <c:pivotFmt>
        <c:idx val="8"/>
        <c:spPr>
          <a:solidFill>
            <a:schemeClr val="accent1"/>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1B4FF"/>
          </a:solidFill>
          <a:ln w="3175" cap="rnd">
            <a:solidFill>
              <a:schemeClr val="bg1"/>
            </a:solidFill>
            <a:bevel/>
          </a:ln>
          <a:effectLst/>
          <a:sp3d contourW="41275">
            <a:contourClr>
              <a:srgbClr val="61B4FF"/>
            </a:contourClr>
          </a:sp3d>
        </c:spPr>
      </c:pivotFmt>
      <c:pivotFmt>
        <c:idx val="10"/>
        <c:spPr>
          <a:solidFill>
            <a:srgbClr val="0081F6"/>
          </a:solidFill>
          <a:ln w="3175" cap="rnd">
            <a:solidFill>
              <a:schemeClr val="bg1"/>
            </a:solidFill>
            <a:bevel/>
          </a:ln>
          <a:effectLst/>
          <a:sp3d contourW="41275">
            <a:contourClr>
              <a:srgbClr val="0081F6"/>
            </a:contourClr>
          </a:sp3d>
        </c:spPr>
      </c:pivotFmt>
      <c:pivotFmt>
        <c:idx val="11"/>
        <c:spPr>
          <a:solidFill>
            <a:srgbClr val="004F96"/>
          </a:solidFill>
          <a:ln w="3175" cap="rnd">
            <a:solidFill>
              <a:schemeClr val="bg1"/>
            </a:solidFill>
            <a:bevel/>
          </a:ln>
          <a:effectLst/>
          <a:sp3d contourW="41275">
            <a:contourClr>
              <a:srgbClr val="004F96"/>
            </a:contourClr>
          </a:sp3d>
        </c:spPr>
      </c:pivotFmt>
      <c:pivotFmt>
        <c:idx val="12"/>
        <c:spPr>
          <a:solidFill>
            <a:srgbClr val="004F96"/>
          </a:solidFill>
          <a:ln w="3175" cap="rnd">
            <a:solidFill>
              <a:schemeClr val="bg1"/>
            </a:solidFill>
            <a:bevel/>
          </a:ln>
          <a:effectLst/>
          <a:sp3d contourW="41275">
            <a:contourClr>
              <a:srgbClr val="004F96"/>
            </a:contourClr>
          </a:sp3d>
        </c:spPr>
      </c:pivotFmt>
      <c:pivotFmt>
        <c:idx val="13"/>
        <c:spPr>
          <a:solidFill>
            <a:srgbClr val="0081F6"/>
          </a:solidFill>
          <a:ln w="3175" cap="rnd">
            <a:solidFill>
              <a:schemeClr val="bg1"/>
            </a:solidFill>
            <a:bevel/>
          </a:ln>
          <a:effectLst/>
          <a:sp3d contourW="41275">
            <a:contourClr>
              <a:srgbClr val="0081F6"/>
            </a:contourClr>
          </a:sp3d>
        </c:spPr>
      </c:pivotFmt>
    </c:pivotFmts>
    <c:plotArea>
      <c:layout/>
      <c:barChart>
        <c:barDir val="bar"/>
        <c:grouping val="clustered"/>
        <c:varyColors val="0"/>
        <c:ser>
          <c:idx val="0"/>
          <c:order val="0"/>
          <c:tx>
            <c:strRef>
              <c:f>'Pivot tables'!$F$3</c:f>
              <c:strCache>
                <c:ptCount val="1"/>
                <c:pt idx="0">
                  <c:v>Total</c:v>
                </c:pt>
              </c:strCache>
            </c:strRef>
          </c:tx>
          <c:spPr>
            <a:solidFill>
              <a:schemeClr val="accent1"/>
            </a:solidFill>
            <a:ln w="3175">
              <a:solidFill>
                <a:schemeClr val="bg1"/>
              </a:solidFill>
            </a:ln>
            <a:effectLst/>
          </c:spPr>
          <c:invertIfNegative val="0"/>
          <c:dPt>
            <c:idx val="0"/>
            <c:invertIfNegative val="0"/>
            <c:bubble3D val="0"/>
            <c:spPr>
              <a:solidFill>
                <a:srgbClr val="004F96"/>
              </a:solidFill>
              <a:ln w="3175" cap="rnd">
                <a:solidFill>
                  <a:schemeClr val="bg1"/>
                </a:solidFill>
                <a:bevel/>
              </a:ln>
              <a:effectLst/>
              <a:sp3d contourW="41275">
                <a:contourClr>
                  <a:srgbClr val="004F96"/>
                </a:contourClr>
              </a:sp3d>
            </c:spPr>
            <c:extLst>
              <c:ext xmlns:c16="http://schemas.microsoft.com/office/drawing/2014/chart" uri="{C3380CC4-5D6E-409C-BE32-E72D297353CC}">
                <c16:uniqueId val="{00000001-E999-4402-8FD8-D133FEE9DA8B}"/>
              </c:ext>
            </c:extLst>
          </c:dPt>
          <c:dPt>
            <c:idx val="1"/>
            <c:invertIfNegative val="0"/>
            <c:bubble3D val="0"/>
            <c:explosion val="5"/>
            <c:spPr>
              <a:solidFill>
                <a:srgbClr val="0081F6"/>
              </a:solidFill>
              <a:ln w="3175" cap="rnd">
                <a:solidFill>
                  <a:schemeClr val="bg1"/>
                </a:solidFill>
                <a:bevel/>
              </a:ln>
              <a:effectLst/>
              <a:sp3d contourW="41275">
                <a:contourClr>
                  <a:srgbClr val="0081F6"/>
                </a:contourClr>
              </a:sp3d>
            </c:spPr>
            <c:extLst>
              <c:ext xmlns:c16="http://schemas.microsoft.com/office/drawing/2014/chart" uri="{C3380CC4-5D6E-409C-BE32-E72D297353CC}">
                <c16:uniqueId val="{00000003-E999-4402-8FD8-D133FEE9DA8B}"/>
              </c:ext>
            </c:extLst>
          </c:dPt>
          <c:dPt>
            <c:idx val="2"/>
            <c:invertIfNegative val="0"/>
            <c:bubble3D val="0"/>
            <c:spPr>
              <a:solidFill>
                <a:srgbClr val="61B4FF"/>
              </a:solidFill>
              <a:ln w="3175" cap="rnd">
                <a:solidFill>
                  <a:schemeClr val="bg1"/>
                </a:solidFill>
                <a:bevel/>
              </a:ln>
              <a:effectLst/>
              <a:sp3d contourW="41275">
                <a:contourClr>
                  <a:srgbClr val="61B4FF"/>
                </a:contourClr>
              </a:sp3d>
            </c:spPr>
            <c:extLst>
              <c:ext xmlns:c16="http://schemas.microsoft.com/office/drawing/2014/chart" uri="{C3380CC4-5D6E-409C-BE32-E72D297353CC}">
                <c16:uniqueId val="{00000005-E999-4402-8FD8-D133FEE9DA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tables'!$E$4:$E$7</c:f>
              <c:strCache>
                <c:ptCount val="3"/>
                <c:pt idx="0">
                  <c:v>Joshua Jackson</c:v>
                </c:pt>
                <c:pt idx="1">
                  <c:v>David Lee</c:v>
                </c:pt>
                <c:pt idx="2">
                  <c:v>James Wilson</c:v>
                </c:pt>
              </c:strCache>
            </c:strRef>
          </c:cat>
          <c:val>
            <c:numRef>
              <c:f>'Pivot tables'!$F$4:$F$7</c:f>
              <c:numCache>
                <c:formatCode>General</c:formatCode>
                <c:ptCount val="3"/>
                <c:pt idx="0">
                  <c:v>10997</c:v>
                </c:pt>
                <c:pt idx="1">
                  <c:v>20626</c:v>
                </c:pt>
                <c:pt idx="2">
                  <c:v>21504</c:v>
                </c:pt>
              </c:numCache>
            </c:numRef>
          </c:val>
          <c:extLst>
            <c:ext xmlns:c16="http://schemas.microsoft.com/office/drawing/2014/chart" uri="{C3380CC4-5D6E-409C-BE32-E72D297353CC}">
              <c16:uniqueId val="{00000006-E999-4402-8FD8-D133FEE9DA8B}"/>
            </c:ext>
          </c:extLst>
        </c:ser>
        <c:dLbls>
          <c:showLegendKey val="0"/>
          <c:showVal val="0"/>
          <c:showCatName val="0"/>
          <c:showSerName val="0"/>
          <c:showPercent val="0"/>
          <c:showBubbleSize val="0"/>
        </c:dLbls>
        <c:gapWidth val="254"/>
        <c:overlap val="-46"/>
        <c:axId val="961092111"/>
        <c:axId val="969034431"/>
      </c:barChart>
      <c:valAx>
        <c:axId val="9690344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61092111"/>
        <c:crosses val="autoZero"/>
        <c:crossBetween val="between"/>
      </c:valAx>
      <c:catAx>
        <c:axId val="9610921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6903443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00B0F0"/>
        </a:gs>
        <a:gs pos="46000">
          <a:schemeClr val="tx2">
            <a:lumMod val="75000"/>
          </a:schemeClr>
        </a:gs>
        <a:gs pos="100000">
          <a:schemeClr val="tx2">
            <a:lumMod val="50000"/>
          </a:schemeClr>
        </a:gs>
      </a:gsLst>
      <a:path path="rect">
        <a:fillToRect l="100000" t="10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[Month1_Week4_Practice(AutoRecovered).xlsx]Pivot tables!PivotTable8</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Revenue By </a:t>
            </a:r>
            <a:r>
              <a:rPr lang="en-US" baseline="0">
                <a:solidFill>
                  <a:schemeClr val="bg1"/>
                </a:solidFill>
              </a:rPr>
              <a:t> Month</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508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50800" cap="rnd">
            <a:solidFill>
              <a:srgbClr val="CDE7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2A3DC7B7-7BE5-45EB-AEE2-AAD1D8542466}"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solidFill>
          <a:ln w="50800" cap="rnd">
            <a:solidFill>
              <a:srgbClr val="61B4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3E0C856F-B4A7-474C-AC99-1BDC44F4FB3E}"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solidFill>
          <a:ln w="50800" cap="rnd">
            <a:solidFill>
              <a:srgbClr val="0588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B1E3807A-D67F-4609-883C-E0E5D8DE4489}"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w="50800" cap="rnd">
            <a:solidFill>
              <a:srgbClr val="0588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B0186B7A-E4D9-4CBC-97AC-301EB25AB10D}"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solidFill>
          <a:ln w="50800" cap="rnd">
            <a:solidFill>
              <a:srgbClr val="0081F6"/>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98C45CEB-DBD3-457A-82B3-D10439A3DC43}"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solidFill>
          <a:ln w="63500" cap="rnd">
            <a:solidFill>
              <a:srgbClr val="FF480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3943143F-C1F3-43FF-8166-4EFEC5939C18}"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solidFill>
          <a:ln w="508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63500" cap="rnd">
            <a:solidFill>
              <a:srgbClr val="FF480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3943143F-C1F3-43FF-8166-4EFEC5939C18}"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1"/>
          </a:solidFill>
          <a:ln w="50800" cap="rnd">
            <a:solidFill>
              <a:srgbClr val="CDE7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2A3DC7B7-7BE5-45EB-AEE2-AAD1D8542466}"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solidFill>
          <a:ln w="50800" cap="rnd">
            <a:solidFill>
              <a:srgbClr val="61B4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3E0C856F-B4A7-474C-AC99-1BDC44F4FB3E}"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1"/>
          </a:solidFill>
          <a:ln w="50800" cap="rnd">
            <a:solidFill>
              <a:srgbClr val="0588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B1E3807A-D67F-4609-883C-E0E5D8DE4489}"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1"/>
          </a:solidFill>
          <a:ln w="50800" cap="rnd">
            <a:solidFill>
              <a:srgbClr val="0588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B0186B7A-E4D9-4CBC-97AC-301EB25AB10D}"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chemeClr val="accent1"/>
          </a:solidFill>
          <a:ln w="50800" cap="rnd">
            <a:solidFill>
              <a:srgbClr val="0081F6"/>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98C45CEB-DBD3-457A-82B3-D10439A3DC43}"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ln w="508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ln w="63500" cap="rnd">
            <a:solidFill>
              <a:srgbClr val="FF480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3943143F-C1F3-43FF-8166-4EFEC5939C18}" type="VALUE">
                  <a:rPr lang="en-US" b="1"/>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ln w="50800" cap="rnd">
            <a:solidFill>
              <a:srgbClr val="CDE7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2A3DC7B7-7BE5-45EB-AEE2-AAD1D8542466}" type="VALUE">
                  <a:rPr lang="en-US" b="1"/>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7"/>
        <c:spPr>
          <a:ln w="63500" cap="rnd">
            <a:solidFill>
              <a:srgbClr val="FF480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3943143F-C1F3-43FF-8166-4EFEC5939C18}" type="VALUE">
                  <a:rPr lang="en-US" b="1"/>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spPr>
          <a:ln w="50800" cap="rnd">
            <a:solidFill>
              <a:srgbClr val="0588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B1E3807A-D67F-4609-883C-E0E5D8DE4489}" type="VALUE">
                  <a:rPr lang="en-US" b="1"/>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9"/>
        <c:spPr>
          <a:ln w="50800" cap="rnd">
            <a:solidFill>
              <a:srgbClr val="0588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B0186B7A-E4D9-4CBC-97AC-301EB25AB10D}" type="VALUE">
                  <a:rPr lang="en-US" b="1"/>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ln w="50800" cap="rnd">
            <a:solidFill>
              <a:srgbClr val="0081F6"/>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98C45CEB-DBD3-457A-82B3-D10439A3DC43}" type="VALUE">
                  <a:rPr lang="en-US" b="1"/>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lineChart>
        <c:grouping val="standard"/>
        <c:varyColors val="1"/>
        <c:ser>
          <c:idx val="0"/>
          <c:order val="0"/>
          <c:tx>
            <c:strRef>
              <c:f>'Pivot tables'!$B$10</c:f>
              <c:strCache>
                <c:ptCount val="1"/>
                <c:pt idx="0">
                  <c:v>Total</c:v>
                </c:pt>
              </c:strCache>
            </c:strRef>
          </c:tx>
          <c:spPr>
            <a:ln w="50800"/>
          </c:spPr>
          <c:marker>
            <c:symbol val="none"/>
          </c:marker>
          <c:dPt>
            <c:idx val="0"/>
            <c:marker>
              <c:symbol val="none"/>
            </c:marker>
            <c:bubble3D val="0"/>
            <c:spPr>
              <a:ln w="63500" cap="rnd">
                <a:solidFill>
                  <a:srgbClr val="FF480F"/>
                </a:solidFill>
                <a:round/>
              </a:ln>
              <a:effectLst/>
            </c:spPr>
            <c:extLst>
              <c:ext xmlns:c16="http://schemas.microsoft.com/office/drawing/2014/chart" uri="{C3380CC4-5D6E-409C-BE32-E72D297353CC}">
                <c16:uniqueId val="{00000001-8158-4B8F-AAAD-875CF878FF7F}"/>
              </c:ext>
            </c:extLst>
          </c:dPt>
          <c:dPt>
            <c:idx val="1"/>
            <c:marker>
              <c:symbol val="none"/>
            </c:marker>
            <c:bubble3D val="0"/>
            <c:spPr>
              <a:ln w="50800" cap="rnd">
                <a:solidFill>
                  <a:srgbClr val="CDE7FF"/>
                </a:solidFill>
                <a:round/>
              </a:ln>
              <a:effectLst/>
            </c:spPr>
            <c:extLst>
              <c:ext xmlns:c16="http://schemas.microsoft.com/office/drawing/2014/chart" uri="{C3380CC4-5D6E-409C-BE32-E72D297353CC}">
                <c16:uniqueId val="{00000003-8158-4B8F-AAAD-875CF878FF7F}"/>
              </c:ext>
            </c:extLst>
          </c:dPt>
          <c:dPt>
            <c:idx val="2"/>
            <c:marker>
              <c:symbol val="none"/>
            </c:marker>
            <c:bubble3D val="0"/>
            <c:spPr>
              <a:ln w="63500" cap="rnd">
                <a:solidFill>
                  <a:srgbClr val="FF480F"/>
                </a:solidFill>
                <a:round/>
              </a:ln>
              <a:effectLst/>
            </c:spPr>
            <c:extLst>
              <c:ext xmlns:c16="http://schemas.microsoft.com/office/drawing/2014/chart" uri="{C3380CC4-5D6E-409C-BE32-E72D297353CC}">
                <c16:uniqueId val="{00000005-8158-4B8F-AAAD-875CF878FF7F}"/>
              </c:ext>
            </c:extLst>
          </c:dPt>
          <c:dPt>
            <c:idx val="3"/>
            <c:marker>
              <c:symbol val="none"/>
            </c:marker>
            <c:bubble3D val="0"/>
            <c:spPr>
              <a:ln w="50800" cap="rnd">
                <a:solidFill>
                  <a:srgbClr val="0588FF"/>
                </a:solidFill>
                <a:round/>
              </a:ln>
              <a:effectLst/>
            </c:spPr>
            <c:extLst>
              <c:ext xmlns:c16="http://schemas.microsoft.com/office/drawing/2014/chart" uri="{C3380CC4-5D6E-409C-BE32-E72D297353CC}">
                <c16:uniqueId val="{00000007-8158-4B8F-AAAD-875CF878FF7F}"/>
              </c:ext>
            </c:extLst>
          </c:dPt>
          <c:dPt>
            <c:idx val="4"/>
            <c:marker>
              <c:symbol val="none"/>
            </c:marker>
            <c:bubble3D val="0"/>
            <c:spPr>
              <a:ln w="50800" cap="rnd">
                <a:solidFill>
                  <a:srgbClr val="0588FF"/>
                </a:solidFill>
                <a:round/>
              </a:ln>
              <a:effectLst/>
            </c:spPr>
            <c:extLst>
              <c:ext xmlns:c16="http://schemas.microsoft.com/office/drawing/2014/chart" uri="{C3380CC4-5D6E-409C-BE32-E72D297353CC}">
                <c16:uniqueId val="{00000009-8158-4B8F-AAAD-875CF878FF7F}"/>
              </c:ext>
            </c:extLst>
          </c:dPt>
          <c:dPt>
            <c:idx val="5"/>
            <c:marker>
              <c:symbol val="none"/>
            </c:marker>
            <c:bubble3D val="0"/>
            <c:spPr>
              <a:ln w="50800" cap="rnd">
                <a:solidFill>
                  <a:srgbClr val="0081F6"/>
                </a:solidFill>
                <a:round/>
              </a:ln>
              <a:effectLst/>
            </c:spPr>
            <c:extLst>
              <c:ext xmlns:c16="http://schemas.microsoft.com/office/drawing/2014/chart" uri="{C3380CC4-5D6E-409C-BE32-E72D297353CC}">
                <c16:uniqueId val="{0000000B-8158-4B8F-AAAD-875CF878FF7F}"/>
              </c:ext>
            </c:extLst>
          </c:dPt>
          <c:dLbls>
            <c:dLbl>
              <c:idx val="0"/>
              <c:tx>
                <c:rich>
                  <a:bodyPr/>
                  <a:lstStyle/>
                  <a:p>
                    <a:fld id="{3943143F-C1F3-43FF-8166-4EFEC5939C18}" type="VALUE">
                      <a:rPr lang="en-US" b="1"/>
                      <a:pPr/>
                      <a:t>[VALUE]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8158-4B8F-AAAD-875CF878FF7F}"/>
                </c:ext>
              </c:extLst>
            </c:dLbl>
            <c:dLbl>
              <c:idx val="1"/>
              <c:tx>
                <c:rich>
                  <a:bodyPr/>
                  <a:lstStyle/>
                  <a:p>
                    <a:fld id="{2A3DC7B7-7BE5-45EB-AEE2-AAD1D8542466}" type="VALUE">
                      <a:rPr lang="en-US" b="1"/>
                      <a:pPr/>
                      <a:t>[VALUE]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158-4B8F-AAAD-875CF878FF7F}"/>
                </c:ext>
              </c:extLst>
            </c:dLbl>
            <c:dLbl>
              <c:idx val="2"/>
              <c:tx>
                <c:rich>
                  <a:bodyPr/>
                  <a:lstStyle/>
                  <a:p>
                    <a:fld id="{3943143F-C1F3-43FF-8166-4EFEC5939C18}" type="VALUE">
                      <a:rPr lang="en-US" b="1"/>
                      <a:pPr/>
                      <a:t>[VALUE]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8158-4B8F-AAAD-875CF878FF7F}"/>
                </c:ext>
              </c:extLst>
            </c:dLbl>
            <c:dLbl>
              <c:idx val="3"/>
              <c:tx>
                <c:rich>
                  <a:bodyPr/>
                  <a:lstStyle/>
                  <a:p>
                    <a:fld id="{B1E3807A-D67F-4609-883C-E0E5D8DE4489}" type="VALUE">
                      <a:rPr lang="en-US" b="1"/>
                      <a:pPr/>
                      <a:t>[VALUE]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8158-4B8F-AAAD-875CF878FF7F}"/>
                </c:ext>
              </c:extLst>
            </c:dLbl>
            <c:dLbl>
              <c:idx val="4"/>
              <c:tx>
                <c:rich>
                  <a:bodyPr/>
                  <a:lstStyle/>
                  <a:p>
                    <a:fld id="{B0186B7A-E4D9-4CBC-97AC-301EB25AB10D}" type="VALUE">
                      <a:rPr lang="en-US" b="1"/>
                      <a:pPr/>
                      <a:t>[VALUE]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8158-4B8F-AAAD-875CF878FF7F}"/>
                </c:ext>
              </c:extLst>
            </c:dLbl>
            <c:dLbl>
              <c:idx val="5"/>
              <c:tx>
                <c:rich>
                  <a:bodyPr/>
                  <a:lstStyle/>
                  <a:p>
                    <a:fld id="{98C45CEB-DBD3-457A-82B3-D10439A3DC43}" type="VALUE">
                      <a:rPr lang="en-US" b="1"/>
                      <a:pPr/>
                      <a:t>[VALUE]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8158-4B8F-AAAD-875CF878FF7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25400" cap="rnd">
                <a:solidFill>
                  <a:srgbClr val="FF480F"/>
                </a:solidFill>
                <a:prstDash val="solid"/>
              </a:ln>
              <a:effectLst/>
            </c:spPr>
            <c:trendlineType val="power"/>
            <c:dispRSqr val="0"/>
            <c:dispEq val="0"/>
          </c:trendline>
          <c:cat>
            <c:strRef>
              <c:f>'Pivot tables'!$A$11:$A$17</c:f>
              <c:strCache>
                <c:ptCount val="6"/>
                <c:pt idx="0">
                  <c:v>January</c:v>
                </c:pt>
                <c:pt idx="1">
                  <c:v>February</c:v>
                </c:pt>
                <c:pt idx="2">
                  <c:v>March</c:v>
                </c:pt>
                <c:pt idx="3">
                  <c:v>April</c:v>
                </c:pt>
                <c:pt idx="4">
                  <c:v>May</c:v>
                </c:pt>
                <c:pt idx="5">
                  <c:v>June</c:v>
                </c:pt>
              </c:strCache>
            </c:strRef>
          </c:cat>
          <c:val>
            <c:numRef>
              <c:f>'Pivot tables'!$B$11:$B$17</c:f>
              <c:numCache>
                <c:formatCode>General</c:formatCode>
                <c:ptCount val="6"/>
                <c:pt idx="0">
                  <c:v>42130</c:v>
                </c:pt>
                <c:pt idx="1">
                  <c:v>21101</c:v>
                </c:pt>
                <c:pt idx="2">
                  <c:v>18666</c:v>
                </c:pt>
                <c:pt idx="3">
                  <c:v>7129</c:v>
                </c:pt>
                <c:pt idx="4">
                  <c:v>17230</c:v>
                </c:pt>
                <c:pt idx="5">
                  <c:v>8967</c:v>
                </c:pt>
              </c:numCache>
            </c:numRef>
          </c:val>
          <c:smooth val="0"/>
          <c:extLst>
            <c:ext xmlns:c16="http://schemas.microsoft.com/office/drawing/2014/chart" uri="{C3380CC4-5D6E-409C-BE32-E72D297353CC}">
              <c16:uniqueId val="{0000000D-8158-4B8F-AAAD-875CF878FF7F}"/>
            </c:ext>
          </c:extLst>
        </c:ser>
        <c:dLbls>
          <c:dLblPos val="t"/>
          <c:showLegendKey val="0"/>
          <c:showVal val="1"/>
          <c:showCatName val="0"/>
          <c:showSerName val="0"/>
          <c:showPercent val="0"/>
          <c:showBubbleSize val="0"/>
        </c:dLbls>
        <c:smooth val="0"/>
        <c:axId val="1633039119"/>
        <c:axId val="1621592767"/>
      </c:lineChart>
      <c:catAx>
        <c:axId val="1633039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21592767"/>
        <c:crosses val="autoZero"/>
        <c:auto val="1"/>
        <c:lblAlgn val="ctr"/>
        <c:lblOffset val="100"/>
        <c:noMultiLvlLbl val="0"/>
      </c:catAx>
      <c:valAx>
        <c:axId val="1621592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33039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00B0F0"/>
        </a:gs>
        <a:gs pos="46000">
          <a:schemeClr val="tx2">
            <a:lumMod val="75000"/>
          </a:schemeClr>
        </a:gs>
        <a:gs pos="100000">
          <a:schemeClr val="tx2">
            <a:lumMod val="50000"/>
          </a:schemeClr>
        </a:gs>
      </a:gsLst>
      <a:path path="rect">
        <a:fillToRect l="100000" t="10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[Month1_Week4_Practice(AutoRecovered).xlsx]Pivot tables!PivotTable9</c:name>
    <c:fmtId val="3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Category 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002060"/>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70C0"/>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1B4FF"/>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588FF"/>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DE7FF"/>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DE7FF"/>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1B4FF"/>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588FF"/>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70C0"/>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2060"/>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61B4FF"/>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CDE7FF"/>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0588FF"/>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0070C0"/>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002060"/>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tables'!$D$10:$D$11</c:f>
              <c:strCache>
                <c:ptCount val="1"/>
                <c:pt idx="0">
                  <c:v>Sports</c:v>
                </c:pt>
              </c:strCache>
            </c:strRef>
          </c:tx>
          <c:spPr>
            <a:solidFill>
              <a:srgbClr val="61B4FF"/>
            </a:solidFill>
            <a:ln w="3175">
              <a:solidFill>
                <a:schemeClr val="bg1"/>
              </a:solidFill>
            </a:ln>
            <a:effectLst/>
          </c:spPr>
          <c:invertIfNegative val="0"/>
          <c:cat>
            <c:strRef>
              <c:f>'Pivot tables'!$C$12:$C$16</c:f>
              <c:strCache>
                <c:ptCount val="4"/>
                <c:pt idx="0">
                  <c:v>North</c:v>
                </c:pt>
                <c:pt idx="1">
                  <c:v>East</c:v>
                </c:pt>
                <c:pt idx="2">
                  <c:v>South</c:v>
                </c:pt>
                <c:pt idx="3">
                  <c:v>West</c:v>
                </c:pt>
              </c:strCache>
            </c:strRef>
          </c:cat>
          <c:val>
            <c:numRef>
              <c:f>'Pivot tables'!$D$12:$D$16</c:f>
              <c:numCache>
                <c:formatCode>General</c:formatCode>
                <c:ptCount val="4"/>
                <c:pt idx="0">
                  <c:v>18294</c:v>
                </c:pt>
                <c:pt idx="1">
                  <c:v>18654</c:v>
                </c:pt>
                <c:pt idx="2">
                  <c:v>4980</c:v>
                </c:pt>
                <c:pt idx="3">
                  <c:v>5180</c:v>
                </c:pt>
              </c:numCache>
            </c:numRef>
          </c:val>
          <c:extLst>
            <c:ext xmlns:c16="http://schemas.microsoft.com/office/drawing/2014/chart" uri="{C3380CC4-5D6E-409C-BE32-E72D297353CC}">
              <c16:uniqueId val="{00000000-4458-40DE-BC06-DF525B19B907}"/>
            </c:ext>
          </c:extLst>
        </c:ser>
        <c:ser>
          <c:idx val="1"/>
          <c:order val="1"/>
          <c:tx>
            <c:strRef>
              <c:f>'Pivot tables'!$E$10:$E$11</c:f>
              <c:strCache>
                <c:ptCount val="1"/>
                <c:pt idx="0">
                  <c:v>Electronics</c:v>
                </c:pt>
              </c:strCache>
            </c:strRef>
          </c:tx>
          <c:spPr>
            <a:solidFill>
              <a:srgbClr val="CDE7FF"/>
            </a:solidFill>
            <a:ln w="3175">
              <a:solidFill>
                <a:schemeClr val="bg1"/>
              </a:solidFill>
            </a:ln>
            <a:effectLst/>
          </c:spPr>
          <c:invertIfNegative val="0"/>
          <c:cat>
            <c:strRef>
              <c:f>'Pivot tables'!$C$12:$C$16</c:f>
              <c:strCache>
                <c:ptCount val="4"/>
                <c:pt idx="0">
                  <c:v>North</c:v>
                </c:pt>
                <c:pt idx="1">
                  <c:v>East</c:v>
                </c:pt>
                <c:pt idx="2">
                  <c:v>South</c:v>
                </c:pt>
                <c:pt idx="3">
                  <c:v>West</c:v>
                </c:pt>
              </c:strCache>
            </c:strRef>
          </c:cat>
          <c:val>
            <c:numRef>
              <c:f>'Pivot tables'!$E$12:$E$16</c:f>
              <c:numCache>
                <c:formatCode>General</c:formatCode>
                <c:ptCount val="4"/>
                <c:pt idx="0">
                  <c:v>11490</c:v>
                </c:pt>
                <c:pt idx="1">
                  <c:v>11290</c:v>
                </c:pt>
                <c:pt idx="2">
                  <c:v>8140</c:v>
                </c:pt>
                <c:pt idx="3">
                  <c:v>8040</c:v>
                </c:pt>
              </c:numCache>
            </c:numRef>
          </c:val>
          <c:extLst>
            <c:ext xmlns:c16="http://schemas.microsoft.com/office/drawing/2014/chart" uri="{C3380CC4-5D6E-409C-BE32-E72D297353CC}">
              <c16:uniqueId val="{00000000-4AD2-4B3C-88D1-211528F91E30}"/>
            </c:ext>
          </c:extLst>
        </c:ser>
        <c:ser>
          <c:idx val="2"/>
          <c:order val="2"/>
          <c:tx>
            <c:strRef>
              <c:f>'Pivot tables'!$F$10:$F$11</c:f>
              <c:strCache>
                <c:ptCount val="1"/>
                <c:pt idx="0">
                  <c:v>Home Appliances</c:v>
                </c:pt>
              </c:strCache>
            </c:strRef>
          </c:tx>
          <c:spPr>
            <a:solidFill>
              <a:srgbClr val="0588FF"/>
            </a:solidFill>
            <a:ln w="3175">
              <a:solidFill>
                <a:schemeClr val="bg1"/>
              </a:solidFill>
            </a:ln>
            <a:effectLst/>
          </c:spPr>
          <c:invertIfNegative val="0"/>
          <c:cat>
            <c:strRef>
              <c:f>'Pivot tables'!$C$12:$C$16</c:f>
              <c:strCache>
                <c:ptCount val="4"/>
                <c:pt idx="0">
                  <c:v>North</c:v>
                </c:pt>
                <c:pt idx="1">
                  <c:v>East</c:v>
                </c:pt>
                <c:pt idx="2">
                  <c:v>South</c:v>
                </c:pt>
                <c:pt idx="3">
                  <c:v>West</c:v>
                </c:pt>
              </c:strCache>
            </c:strRef>
          </c:cat>
          <c:val>
            <c:numRef>
              <c:f>'Pivot tables'!$F$12:$F$16</c:f>
              <c:numCache>
                <c:formatCode>General</c:formatCode>
                <c:ptCount val="4"/>
                <c:pt idx="0">
                  <c:v>6240</c:v>
                </c:pt>
                <c:pt idx="1">
                  <c:v>5400</c:v>
                </c:pt>
                <c:pt idx="2">
                  <c:v>3840</c:v>
                </c:pt>
                <c:pt idx="3">
                  <c:v>3690</c:v>
                </c:pt>
              </c:numCache>
            </c:numRef>
          </c:val>
          <c:extLst>
            <c:ext xmlns:c16="http://schemas.microsoft.com/office/drawing/2014/chart" uri="{C3380CC4-5D6E-409C-BE32-E72D297353CC}">
              <c16:uniqueId val="{00000001-4AD2-4B3C-88D1-211528F91E30}"/>
            </c:ext>
          </c:extLst>
        </c:ser>
        <c:ser>
          <c:idx val="3"/>
          <c:order val="3"/>
          <c:tx>
            <c:strRef>
              <c:f>'Pivot tables'!$G$10:$G$11</c:f>
              <c:strCache>
                <c:ptCount val="1"/>
                <c:pt idx="0">
                  <c:v>Clothing</c:v>
                </c:pt>
              </c:strCache>
            </c:strRef>
          </c:tx>
          <c:spPr>
            <a:solidFill>
              <a:srgbClr val="0070C0"/>
            </a:solidFill>
            <a:ln w="3175">
              <a:solidFill>
                <a:schemeClr val="bg1"/>
              </a:solidFill>
            </a:ln>
            <a:effectLst/>
          </c:spPr>
          <c:invertIfNegative val="0"/>
          <c:cat>
            <c:strRef>
              <c:f>'Pivot tables'!$C$12:$C$16</c:f>
              <c:strCache>
                <c:ptCount val="4"/>
                <c:pt idx="0">
                  <c:v>North</c:v>
                </c:pt>
                <c:pt idx="1">
                  <c:v>East</c:v>
                </c:pt>
                <c:pt idx="2">
                  <c:v>South</c:v>
                </c:pt>
                <c:pt idx="3">
                  <c:v>West</c:v>
                </c:pt>
              </c:strCache>
            </c:strRef>
          </c:cat>
          <c:val>
            <c:numRef>
              <c:f>'Pivot tables'!$G$12:$G$16</c:f>
              <c:numCache>
                <c:formatCode>General</c:formatCode>
                <c:ptCount val="4"/>
                <c:pt idx="0">
                  <c:v>2634</c:v>
                </c:pt>
                <c:pt idx="1">
                  <c:v>2452</c:v>
                </c:pt>
                <c:pt idx="2">
                  <c:v>796</c:v>
                </c:pt>
                <c:pt idx="3">
                  <c:v>812</c:v>
                </c:pt>
              </c:numCache>
            </c:numRef>
          </c:val>
          <c:extLst>
            <c:ext xmlns:c16="http://schemas.microsoft.com/office/drawing/2014/chart" uri="{C3380CC4-5D6E-409C-BE32-E72D297353CC}">
              <c16:uniqueId val="{00000002-4AD2-4B3C-88D1-211528F91E30}"/>
            </c:ext>
          </c:extLst>
        </c:ser>
        <c:ser>
          <c:idx val="4"/>
          <c:order val="4"/>
          <c:tx>
            <c:strRef>
              <c:f>'Pivot tables'!$H$10:$H$11</c:f>
              <c:strCache>
                <c:ptCount val="1"/>
                <c:pt idx="0">
                  <c:v>Beauty</c:v>
                </c:pt>
              </c:strCache>
            </c:strRef>
          </c:tx>
          <c:spPr>
            <a:solidFill>
              <a:srgbClr val="002060"/>
            </a:solidFill>
            <a:ln w="3175">
              <a:solidFill>
                <a:schemeClr val="bg1"/>
              </a:solidFill>
            </a:ln>
            <a:effectLst/>
          </c:spPr>
          <c:invertIfNegative val="0"/>
          <c:cat>
            <c:strRef>
              <c:f>'Pivot tables'!$C$12:$C$16</c:f>
              <c:strCache>
                <c:ptCount val="4"/>
                <c:pt idx="0">
                  <c:v>North</c:v>
                </c:pt>
                <c:pt idx="1">
                  <c:v>East</c:v>
                </c:pt>
                <c:pt idx="2">
                  <c:v>South</c:v>
                </c:pt>
                <c:pt idx="3">
                  <c:v>West</c:v>
                </c:pt>
              </c:strCache>
            </c:strRef>
          </c:cat>
          <c:val>
            <c:numRef>
              <c:f>'Pivot tables'!$H$12:$H$16</c:f>
              <c:numCache>
                <c:formatCode>General</c:formatCode>
                <c:ptCount val="4"/>
                <c:pt idx="0">
                  <c:v>777</c:v>
                </c:pt>
                <c:pt idx="1">
                  <c:v>795</c:v>
                </c:pt>
                <c:pt idx="2">
                  <c:v>878</c:v>
                </c:pt>
                <c:pt idx="3">
                  <c:v>841</c:v>
                </c:pt>
              </c:numCache>
            </c:numRef>
          </c:val>
          <c:extLst>
            <c:ext xmlns:c16="http://schemas.microsoft.com/office/drawing/2014/chart" uri="{C3380CC4-5D6E-409C-BE32-E72D297353CC}">
              <c16:uniqueId val="{00000003-4AD2-4B3C-88D1-211528F91E30}"/>
            </c:ext>
          </c:extLst>
        </c:ser>
        <c:dLbls>
          <c:showLegendKey val="0"/>
          <c:showVal val="0"/>
          <c:showCatName val="0"/>
          <c:showSerName val="0"/>
          <c:showPercent val="0"/>
          <c:showBubbleSize val="0"/>
        </c:dLbls>
        <c:gapWidth val="219"/>
        <c:overlap val="-27"/>
        <c:axId val="1702405103"/>
        <c:axId val="1621589887"/>
      </c:barChart>
      <c:catAx>
        <c:axId val="170240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21589887"/>
        <c:crosses val="autoZero"/>
        <c:auto val="1"/>
        <c:lblAlgn val="ctr"/>
        <c:lblOffset val="100"/>
        <c:noMultiLvlLbl val="0"/>
      </c:catAx>
      <c:valAx>
        <c:axId val="1621589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02405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00B0F0"/>
        </a:gs>
        <a:gs pos="46000">
          <a:schemeClr val="tx2">
            <a:lumMod val="75000"/>
          </a:schemeClr>
        </a:gs>
        <a:gs pos="100000">
          <a:schemeClr val="tx2">
            <a:lumMod val="50000"/>
          </a:schemeClr>
        </a:gs>
      </a:gsLst>
      <a:path path="rect">
        <a:fillToRect l="100000" t="10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[Month1_Week4_Practice(AutoRecovered).xlsx]Pivot tables!PivotTable10</c:name>
    <c:fmtId val="2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Customer</a:t>
            </a:r>
            <a:r>
              <a:rPr lang="en-US" baseline="0">
                <a:solidFill>
                  <a:schemeClr val="bg1"/>
                </a:solidFill>
              </a:rPr>
              <a:t> Segment Revenue By Month</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38100" cap="rnd">
            <a:solidFill>
              <a:srgbClr val="0070C0"/>
            </a:solidFill>
            <a:round/>
          </a:ln>
          <a:effectLst/>
        </c:spPr>
        <c:marker>
          <c:symbol val="square"/>
          <c:size val="6"/>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rnd">
            <a:solidFill>
              <a:srgbClr val="5DB2FF"/>
            </a:solidFill>
            <a:round/>
          </a:ln>
          <a:effectLst/>
        </c:spPr>
        <c:marker>
          <c:symbol val="square"/>
          <c:size val="6"/>
          <c:spPr>
            <a:solidFill>
              <a:schemeClr val="bg1">
                <a:lumMod val="75000"/>
              </a:schemeClr>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8100" cap="rnd">
            <a:solidFill>
              <a:srgbClr val="E5F3FF"/>
            </a:solidFill>
            <a:round/>
          </a:ln>
          <a:effectLst/>
        </c:spPr>
        <c:marker>
          <c:symbol val="square"/>
          <c:size val="6"/>
          <c:spPr>
            <a:solidFill>
              <a:srgbClr val="002060"/>
            </a:solidFill>
            <a:ln w="9525">
              <a:solidFill>
                <a:srgbClr val="E5F3F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38100" cap="rnd">
            <a:solidFill>
              <a:srgbClr val="0070C0"/>
            </a:solidFill>
            <a:round/>
          </a:ln>
          <a:effectLst/>
        </c:spPr>
        <c:marker>
          <c:symbol val="square"/>
          <c:size val="6"/>
          <c:spPr>
            <a:solidFill>
              <a:schemeClr val="bg1"/>
            </a:solidFill>
            <a:ln w="9525">
              <a:solidFill>
                <a:schemeClr val="accent1"/>
              </a:solidFill>
            </a:ln>
            <a:effectLst/>
          </c:spPr>
        </c:marker>
      </c:pivotFmt>
      <c:pivotFmt>
        <c:idx val="4"/>
        <c:spPr>
          <a:solidFill>
            <a:schemeClr val="accent1"/>
          </a:solidFill>
          <a:ln w="38100" cap="rnd">
            <a:solidFill>
              <a:srgbClr val="0070C0"/>
            </a:solidFill>
            <a:round/>
          </a:ln>
          <a:effectLst/>
        </c:spPr>
        <c:marker>
          <c:symbol val="square"/>
          <c:size val="6"/>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38100" cap="rnd">
            <a:solidFill>
              <a:srgbClr val="5DB2FF"/>
            </a:solidFill>
            <a:round/>
          </a:ln>
          <a:effectLst/>
        </c:spPr>
        <c:marker>
          <c:symbol val="square"/>
          <c:size val="6"/>
          <c:spPr>
            <a:solidFill>
              <a:schemeClr val="bg1">
                <a:lumMod val="75000"/>
              </a:schemeClr>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38100" cap="rnd">
            <a:solidFill>
              <a:srgbClr val="E5F3FF"/>
            </a:solidFill>
            <a:round/>
          </a:ln>
          <a:effectLst/>
        </c:spPr>
        <c:marker>
          <c:symbol val="square"/>
          <c:size val="6"/>
          <c:spPr>
            <a:solidFill>
              <a:srgbClr val="002060"/>
            </a:solidFill>
            <a:ln w="9525">
              <a:solidFill>
                <a:srgbClr val="E5F3F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8100"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8100" cap="rnd">
            <a:solidFill>
              <a:srgbClr val="5DB2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8100" cap="rnd">
            <a:solidFill>
              <a:srgbClr val="E5F3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tables'!$B$19:$B$20</c:f>
              <c:strCache>
                <c:ptCount val="1"/>
                <c:pt idx="0">
                  <c:v>Premium</c:v>
                </c:pt>
              </c:strCache>
            </c:strRef>
          </c:tx>
          <c:spPr>
            <a:ln w="38100" cap="rnd">
              <a:solidFill>
                <a:srgbClr val="5DB2FF"/>
              </a:solidFill>
              <a:round/>
            </a:ln>
            <a:effectLst/>
          </c:spPr>
          <c:marker>
            <c:symbol val="none"/>
          </c:marker>
          <c:cat>
            <c:strRef>
              <c:f>'Pivot tables'!$A$21:$A$27</c:f>
              <c:strCache>
                <c:ptCount val="6"/>
                <c:pt idx="0">
                  <c:v>January</c:v>
                </c:pt>
                <c:pt idx="1">
                  <c:v>February</c:v>
                </c:pt>
                <c:pt idx="2">
                  <c:v>March</c:v>
                </c:pt>
                <c:pt idx="3">
                  <c:v>April</c:v>
                </c:pt>
                <c:pt idx="4">
                  <c:v>May</c:v>
                </c:pt>
                <c:pt idx="5">
                  <c:v>June</c:v>
                </c:pt>
              </c:strCache>
            </c:strRef>
          </c:cat>
          <c:val>
            <c:numRef>
              <c:f>'Pivot tables'!$B$21:$B$27</c:f>
              <c:numCache>
                <c:formatCode>General</c:formatCode>
                <c:ptCount val="6"/>
                <c:pt idx="0">
                  <c:v>42130</c:v>
                </c:pt>
                <c:pt idx="1">
                  <c:v>0</c:v>
                </c:pt>
                <c:pt idx="2">
                  <c:v>0</c:v>
                </c:pt>
                <c:pt idx="3">
                  <c:v>7129</c:v>
                </c:pt>
                <c:pt idx="4">
                  <c:v>0</c:v>
                </c:pt>
                <c:pt idx="5">
                  <c:v>0</c:v>
                </c:pt>
              </c:numCache>
            </c:numRef>
          </c:val>
          <c:smooth val="0"/>
          <c:extLst>
            <c:ext xmlns:c16="http://schemas.microsoft.com/office/drawing/2014/chart" uri="{C3380CC4-5D6E-409C-BE32-E72D297353CC}">
              <c16:uniqueId val="{00000000-0DA6-4910-A283-36E569B4819B}"/>
            </c:ext>
          </c:extLst>
        </c:ser>
        <c:ser>
          <c:idx val="1"/>
          <c:order val="1"/>
          <c:tx>
            <c:strRef>
              <c:f>'Pivot tables'!$C$19:$C$20</c:f>
              <c:strCache>
                <c:ptCount val="1"/>
                <c:pt idx="0">
                  <c:v>Standard</c:v>
                </c:pt>
              </c:strCache>
            </c:strRef>
          </c:tx>
          <c:spPr>
            <a:ln w="38100" cap="rnd">
              <a:solidFill>
                <a:srgbClr val="E5F3FF"/>
              </a:solidFill>
              <a:round/>
            </a:ln>
            <a:effectLst/>
          </c:spPr>
          <c:marker>
            <c:symbol val="none"/>
          </c:marker>
          <c:cat>
            <c:strRef>
              <c:f>'Pivot tables'!$A$21:$A$27</c:f>
              <c:strCache>
                <c:ptCount val="6"/>
                <c:pt idx="0">
                  <c:v>January</c:v>
                </c:pt>
                <c:pt idx="1">
                  <c:v>February</c:v>
                </c:pt>
                <c:pt idx="2">
                  <c:v>March</c:v>
                </c:pt>
                <c:pt idx="3">
                  <c:v>April</c:v>
                </c:pt>
                <c:pt idx="4">
                  <c:v>May</c:v>
                </c:pt>
                <c:pt idx="5">
                  <c:v>June</c:v>
                </c:pt>
              </c:strCache>
            </c:strRef>
          </c:cat>
          <c:val>
            <c:numRef>
              <c:f>'Pivot tables'!$C$21:$C$27</c:f>
              <c:numCache>
                <c:formatCode>General</c:formatCode>
                <c:ptCount val="6"/>
                <c:pt idx="0">
                  <c:v>0</c:v>
                </c:pt>
                <c:pt idx="1">
                  <c:v>21101</c:v>
                </c:pt>
                <c:pt idx="2">
                  <c:v>0</c:v>
                </c:pt>
                <c:pt idx="3">
                  <c:v>0</c:v>
                </c:pt>
                <c:pt idx="4">
                  <c:v>17230</c:v>
                </c:pt>
                <c:pt idx="5">
                  <c:v>0</c:v>
                </c:pt>
              </c:numCache>
            </c:numRef>
          </c:val>
          <c:smooth val="0"/>
          <c:extLst>
            <c:ext xmlns:c16="http://schemas.microsoft.com/office/drawing/2014/chart" uri="{C3380CC4-5D6E-409C-BE32-E72D297353CC}">
              <c16:uniqueId val="{00000003-4461-4D4B-B89A-D7C7B3BCA0E5}"/>
            </c:ext>
          </c:extLst>
        </c:ser>
        <c:ser>
          <c:idx val="2"/>
          <c:order val="2"/>
          <c:tx>
            <c:strRef>
              <c:f>'Pivot tables'!$D$19:$D$20</c:f>
              <c:strCache>
                <c:ptCount val="1"/>
                <c:pt idx="0">
                  <c:v>Budget</c:v>
                </c:pt>
              </c:strCache>
            </c:strRef>
          </c:tx>
          <c:spPr>
            <a:ln w="38100" cap="rnd">
              <a:solidFill>
                <a:srgbClr val="0070C0"/>
              </a:solidFill>
              <a:round/>
            </a:ln>
            <a:effectLst/>
          </c:spPr>
          <c:marker>
            <c:symbol val="none"/>
          </c:marker>
          <c:cat>
            <c:strRef>
              <c:f>'Pivot tables'!$A$21:$A$27</c:f>
              <c:strCache>
                <c:ptCount val="6"/>
                <c:pt idx="0">
                  <c:v>January</c:v>
                </c:pt>
                <c:pt idx="1">
                  <c:v>February</c:v>
                </c:pt>
                <c:pt idx="2">
                  <c:v>March</c:v>
                </c:pt>
                <c:pt idx="3">
                  <c:v>April</c:v>
                </c:pt>
                <c:pt idx="4">
                  <c:v>May</c:v>
                </c:pt>
                <c:pt idx="5">
                  <c:v>June</c:v>
                </c:pt>
              </c:strCache>
            </c:strRef>
          </c:cat>
          <c:val>
            <c:numRef>
              <c:f>'Pivot tables'!$D$21:$D$27</c:f>
              <c:numCache>
                <c:formatCode>General</c:formatCode>
                <c:ptCount val="6"/>
                <c:pt idx="0">
                  <c:v>0</c:v>
                </c:pt>
                <c:pt idx="1">
                  <c:v>0</c:v>
                </c:pt>
                <c:pt idx="2">
                  <c:v>18666</c:v>
                </c:pt>
                <c:pt idx="3">
                  <c:v>0</c:v>
                </c:pt>
                <c:pt idx="4">
                  <c:v>0</c:v>
                </c:pt>
                <c:pt idx="5">
                  <c:v>8967</c:v>
                </c:pt>
              </c:numCache>
            </c:numRef>
          </c:val>
          <c:smooth val="0"/>
          <c:extLst>
            <c:ext xmlns:c16="http://schemas.microsoft.com/office/drawing/2014/chart" uri="{C3380CC4-5D6E-409C-BE32-E72D297353CC}">
              <c16:uniqueId val="{00000004-4461-4D4B-B89A-D7C7B3BCA0E5}"/>
            </c:ext>
          </c:extLst>
        </c:ser>
        <c:dLbls>
          <c:showLegendKey val="0"/>
          <c:showVal val="0"/>
          <c:showCatName val="0"/>
          <c:showSerName val="0"/>
          <c:showPercent val="0"/>
          <c:showBubbleSize val="0"/>
        </c:dLbls>
        <c:smooth val="0"/>
        <c:axId val="75512288"/>
        <c:axId val="1621611967"/>
      </c:lineChart>
      <c:catAx>
        <c:axId val="75512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21611967"/>
        <c:crosses val="autoZero"/>
        <c:auto val="1"/>
        <c:lblAlgn val="ctr"/>
        <c:lblOffset val="100"/>
        <c:noMultiLvlLbl val="0"/>
      </c:catAx>
      <c:valAx>
        <c:axId val="1621611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5512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a:gsLst>
        <a:gs pos="0">
          <a:srgbClr val="00B0F0"/>
        </a:gs>
        <a:gs pos="46000">
          <a:schemeClr val="tx2">
            <a:lumMod val="75000"/>
          </a:schemeClr>
        </a:gs>
        <a:gs pos="100000">
          <a:schemeClr val="tx2">
            <a:lumMod val="50000"/>
          </a:schemeClr>
        </a:gs>
      </a:gsLst>
      <a:path path="rect">
        <a:fillToRect l="100000" t="10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[Month1_Week4_Practice(AutoRecovered).xlsx]Pivot tables!PivotTable11</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Average</a:t>
            </a:r>
            <a:r>
              <a:rPr lang="en-US" baseline="0">
                <a:solidFill>
                  <a:schemeClr val="bg1"/>
                </a:solidFill>
              </a:rPr>
              <a:t> Revenue By Region</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5C8FF"/>
          </a:solidFill>
          <a:ln w="25400">
            <a:solidFill>
              <a:srgbClr val="85C8FF"/>
            </a:solidFill>
          </a:ln>
          <a:effectLst/>
          <a:sp3d contourW="25400">
            <a:contourClr>
              <a:srgbClr val="85C8FF"/>
            </a:contourClr>
          </a:sp3d>
        </c:spPr>
      </c:pivotFmt>
      <c:pivotFmt>
        <c:idx val="2"/>
        <c:spPr>
          <a:solidFill>
            <a:srgbClr val="37A0FF"/>
          </a:solidFill>
          <a:ln w="25400">
            <a:solidFill>
              <a:srgbClr val="37A0FF"/>
            </a:solidFill>
          </a:ln>
          <a:effectLst/>
          <a:sp3d contourW="25400">
            <a:contourClr>
              <a:srgbClr val="37A0FF"/>
            </a:contourClr>
          </a:sp3d>
        </c:spPr>
      </c:pivotFmt>
      <c:pivotFmt>
        <c:idx val="3"/>
        <c:spPr>
          <a:solidFill>
            <a:srgbClr val="0078DE"/>
          </a:solidFill>
          <a:ln w="25400">
            <a:solidFill>
              <a:srgbClr val="0078DE"/>
            </a:solidFill>
          </a:ln>
          <a:effectLst/>
          <a:sp3d contourW="25400">
            <a:contourClr>
              <a:srgbClr val="0078DE"/>
            </a:contourClr>
          </a:sp3d>
        </c:spPr>
      </c:pivotFmt>
      <c:pivotFmt>
        <c:idx val="4"/>
        <c:spPr>
          <a:solidFill>
            <a:srgbClr val="005092"/>
          </a:solidFill>
          <a:ln w="25400">
            <a:solidFill>
              <a:srgbClr val="005092"/>
            </a:solidFill>
          </a:ln>
          <a:effectLst/>
          <a:sp3d contourW="25400">
            <a:contourClr>
              <a:srgbClr val="005092"/>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7A0FF"/>
          </a:solidFill>
          <a:ln w="25400">
            <a:solidFill>
              <a:srgbClr val="37A0FF"/>
            </a:solidFill>
          </a:ln>
          <a:effectLst/>
          <a:sp3d contourW="25400">
            <a:contourClr>
              <a:srgbClr val="37A0FF"/>
            </a:contourClr>
          </a:sp3d>
        </c:spPr>
      </c:pivotFmt>
      <c:pivotFmt>
        <c:idx val="7"/>
        <c:spPr>
          <a:solidFill>
            <a:srgbClr val="85C8FF"/>
          </a:solidFill>
          <a:ln w="25400">
            <a:solidFill>
              <a:srgbClr val="85C8FF"/>
            </a:solidFill>
          </a:ln>
          <a:effectLst/>
          <a:sp3d contourW="25400">
            <a:contourClr>
              <a:srgbClr val="85C8FF"/>
            </a:contourClr>
          </a:sp3d>
        </c:spPr>
      </c:pivotFmt>
      <c:pivotFmt>
        <c:idx val="8"/>
        <c:spPr>
          <a:solidFill>
            <a:srgbClr val="0078DE"/>
          </a:solidFill>
          <a:ln w="25400">
            <a:solidFill>
              <a:srgbClr val="0078DE"/>
            </a:solidFill>
          </a:ln>
          <a:effectLst/>
          <a:sp3d contourW="25400">
            <a:contourClr>
              <a:srgbClr val="0078DE"/>
            </a:contourClr>
          </a:sp3d>
        </c:spPr>
      </c:pivotFmt>
      <c:pivotFmt>
        <c:idx val="9"/>
        <c:spPr>
          <a:solidFill>
            <a:srgbClr val="005092"/>
          </a:solidFill>
          <a:ln w="25400">
            <a:solidFill>
              <a:srgbClr val="005092"/>
            </a:solidFill>
          </a:ln>
          <a:effectLst/>
          <a:sp3d contourW="25400">
            <a:contourClr>
              <a:srgbClr val="005092"/>
            </a:contourClr>
          </a:sp3d>
        </c:spPr>
      </c:pivotFmt>
      <c:pivotFmt>
        <c:idx val="10"/>
        <c:spPr>
          <a:solidFill>
            <a:schemeClr val="accent1"/>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37A0FF"/>
          </a:solidFill>
          <a:ln w="3175">
            <a:solidFill>
              <a:schemeClr val="bg1"/>
            </a:solidFill>
          </a:ln>
          <a:effectLst/>
          <a:sp3d contourW="25400">
            <a:contourClr>
              <a:srgbClr val="37A0FF"/>
            </a:contourClr>
          </a:sp3d>
        </c:spPr>
      </c:pivotFmt>
      <c:pivotFmt>
        <c:idx val="12"/>
        <c:spPr>
          <a:solidFill>
            <a:srgbClr val="85C8FF"/>
          </a:solidFill>
          <a:ln w="3175">
            <a:solidFill>
              <a:schemeClr val="bg1"/>
            </a:solidFill>
          </a:ln>
          <a:effectLst/>
          <a:sp3d contourW="25400">
            <a:contourClr>
              <a:srgbClr val="85C8FF"/>
            </a:contourClr>
          </a:sp3d>
        </c:spPr>
      </c:pivotFmt>
      <c:pivotFmt>
        <c:idx val="13"/>
        <c:spPr>
          <a:solidFill>
            <a:srgbClr val="0078DE"/>
          </a:solidFill>
          <a:ln w="3175">
            <a:solidFill>
              <a:schemeClr val="bg1"/>
            </a:solidFill>
          </a:ln>
          <a:effectLst/>
          <a:sp3d contourW="25400">
            <a:contourClr>
              <a:srgbClr val="0078DE"/>
            </a:contourClr>
          </a:sp3d>
        </c:spPr>
      </c:pivotFmt>
      <c:pivotFmt>
        <c:idx val="14"/>
        <c:spPr>
          <a:solidFill>
            <a:srgbClr val="005092"/>
          </a:solidFill>
          <a:ln w="3175">
            <a:solidFill>
              <a:schemeClr val="bg1"/>
            </a:solidFill>
          </a:ln>
          <a:effectLst/>
          <a:sp3d contourW="25400">
            <a:contourClr>
              <a:srgbClr val="005092"/>
            </a:contourClr>
          </a:sp3d>
        </c:spPr>
      </c:pivotFmt>
    </c:pivotFmts>
    <c:plotArea>
      <c:layout/>
      <c:barChart>
        <c:barDir val="bar"/>
        <c:grouping val="clustered"/>
        <c:varyColors val="0"/>
        <c:ser>
          <c:idx val="0"/>
          <c:order val="0"/>
          <c:tx>
            <c:strRef>
              <c:f>'Pivot tables'!$G$19</c:f>
              <c:strCache>
                <c:ptCount val="1"/>
                <c:pt idx="0">
                  <c:v>Total</c:v>
                </c:pt>
              </c:strCache>
            </c:strRef>
          </c:tx>
          <c:spPr>
            <a:solidFill>
              <a:schemeClr val="accent1"/>
            </a:solidFill>
            <a:ln w="3175">
              <a:solidFill>
                <a:schemeClr val="bg1"/>
              </a:solidFill>
            </a:ln>
            <a:effectLst/>
          </c:spPr>
          <c:invertIfNegative val="0"/>
          <c:dPt>
            <c:idx val="0"/>
            <c:invertIfNegative val="0"/>
            <c:bubble3D val="0"/>
            <c:spPr>
              <a:solidFill>
                <a:srgbClr val="005092"/>
              </a:solidFill>
              <a:ln w="3175">
                <a:solidFill>
                  <a:schemeClr val="bg1"/>
                </a:solidFill>
              </a:ln>
              <a:effectLst/>
              <a:sp3d contourW="25400">
                <a:contourClr>
                  <a:srgbClr val="005092"/>
                </a:contourClr>
              </a:sp3d>
            </c:spPr>
            <c:extLst>
              <c:ext xmlns:c16="http://schemas.microsoft.com/office/drawing/2014/chart" uri="{C3380CC4-5D6E-409C-BE32-E72D297353CC}">
                <c16:uniqueId val="{00000001-9422-4119-9661-5EA74EF3609A}"/>
              </c:ext>
            </c:extLst>
          </c:dPt>
          <c:dPt>
            <c:idx val="1"/>
            <c:invertIfNegative val="0"/>
            <c:bubble3D val="0"/>
            <c:spPr>
              <a:solidFill>
                <a:srgbClr val="0078DE"/>
              </a:solidFill>
              <a:ln w="3175">
                <a:solidFill>
                  <a:schemeClr val="bg1"/>
                </a:solidFill>
              </a:ln>
              <a:effectLst/>
              <a:sp3d contourW="25400">
                <a:contourClr>
                  <a:srgbClr val="0078DE"/>
                </a:contourClr>
              </a:sp3d>
            </c:spPr>
            <c:extLst>
              <c:ext xmlns:c16="http://schemas.microsoft.com/office/drawing/2014/chart" uri="{C3380CC4-5D6E-409C-BE32-E72D297353CC}">
                <c16:uniqueId val="{00000003-9422-4119-9661-5EA74EF3609A}"/>
              </c:ext>
            </c:extLst>
          </c:dPt>
          <c:dPt>
            <c:idx val="2"/>
            <c:invertIfNegative val="0"/>
            <c:bubble3D val="0"/>
            <c:spPr>
              <a:solidFill>
                <a:srgbClr val="37A0FF"/>
              </a:solidFill>
              <a:ln w="3175">
                <a:solidFill>
                  <a:schemeClr val="bg1"/>
                </a:solidFill>
              </a:ln>
              <a:effectLst/>
              <a:sp3d contourW="25400">
                <a:contourClr>
                  <a:srgbClr val="37A0FF"/>
                </a:contourClr>
              </a:sp3d>
            </c:spPr>
            <c:extLst>
              <c:ext xmlns:c16="http://schemas.microsoft.com/office/drawing/2014/chart" uri="{C3380CC4-5D6E-409C-BE32-E72D297353CC}">
                <c16:uniqueId val="{00000005-9422-4119-9661-5EA74EF3609A}"/>
              </c:ext>
            </c:extLst>
          </c:dPt>
          <c:dPt>
            <c:idx val="3"/>
            <c:invertIfNegative val="0"/>
            <c:bubble3D val="0"/>
            <c:spPr>
              <a:solidFill>
                <a:srgbClr val="85C8FF"/>
              </a:solidFill>
              <a:ln w="3175">
                <a:solidFill>
                  <a:schemeClr val="bg1"/>
                </a:solidFill>
              </a:ln>
              <a:effectLst/>
              <a:sp3d contourW="25400">
                <a:contourClr>
                  <a:srgbClr val="85C8FF"/>
                </a:contourClr>
              </a:sp3d>
            </c:spPr>
            <c:extLst>
              <c:ext xmlns:c16="http://schemas.microsoft.com/office/drawing/2014/chart" uri="{C3380CC4-5D6E-409C-BE32-E72D297353CC}">
                <c16:uniqueId val="{00000007-9422-4119-9661-5EA74EF3609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tables'!$F$20:$F$24</c:f>
              <c:strCache>
                <c:ptCount val="4"/>
                <c:pt idx="0">
                  <c:v>West</c:v>
                </c:pt>
                <c:pt idx="1">
                  <c:v>South</c:v>
                </c:pt>
                <c:pt idx="2">
                  <c:v>East</c:v>
                </c:pt>
                <c:pt idx="3">
                  <c:v>North</c:v>
                </c:pt>
              </c:strCache>
            </c:strRef>
          </c:cat>
          <c:val>
            <c:numRef>
              <c:f>'Pivot tables'!$G$20:$G$24</c:f>
              <c:numCache>
                <c:formatCode>General</c:formatCode>
                <c:ptCount val="4"/>
                <c:pt idx="0">
                  <c:v>371.26</c:v>
                </c:pt>
                <c:pt idx="1">
                  <c:v>372.68</c:v>
                </c:pt>
                <c:pt idx="2">
                  <c:v>771.82</c:v>
                </c:pt>
                <c:pt idx="3">
                  <c:v>788.7</c:v>
                </c:pt>
              </c:numCache>
            </c:numRef>
          </c:val>
          <c:extLst>
            <c:ext xmlns:c16="http://schemas.microsoft.com/office/drawing/2014/chart" uri="{C3380CC4-5D6E-409C-BE32-E72D297353CC}">
              <c16:uniqueId val="{00000008-9422-4119-9661-5EA74EF3609A}"/>
            </c:ext>
          </c:extLst>
        </c:ser>
        <c:dLbls>
          <c:showLegendKey val="0"/>
          <c:showVal val="0"/>
          <c:showCatName val="0"/>
          <c:showSerName val="0"/>
          <c:showPercent val="0"/>
          <c:showBubbleSize val="0"/>
        </c:dLbls>
        <c:gapWidth val="100"/>
        <c:axId val="68916736"/>
        <c:axId val="1621592287"/>
      </c:barChart>
      <c:valAx>
        <c:axId val="16215922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8916736"/>
        <c:crosses val="autoZero"/>
        <c:crossBetween val="between"/>
      </c:valAx>
      <c:catAx>
        <c:axId val="689167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2159228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00B0F0"/>
        </a:gs>
        <a:gs pos="46000">
          <a:schemeClr val="tx2">
            <a:lumMod val="75000"/>
          </a:schemeClr>
        </a:gs>
        <a:gs pos="100000">
          <a:schemeClr val="tx2">
            <a:lumMod val="50000"/>
          </a:schemeClr>
        </a:gs>
      </a:gsLst>
      <a:path path="rect">
        <a:fillToRect l="100000" t="10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[Month1_Week4_Practice(AutoRecovered).xlsx]Pivot tables!PivotTable12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Average</a:t>
            </a:r>
            <a:r>
              <a:rPr lang="en-US" baseline="0">
                <a:solidFill>
                  <a:schemeClr val="bg1"/>
                </a:solidFill>
              </a:rPr>
              <a:t> Revenue By Sales Rap</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E1D36AB5-9F20-48E1-A9B5-6AC6E46D6E4F}" type="VALUE">
                  <a:rPr lang="en-US"/>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E1D36AB5-9F20-48E1-A9B5-6AC6E46D6E4F}" type="VALUE">
                  <a:rPr lang="en-US"/>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3175">
            <a:solidFill>
              <a:schemeClr val="bg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E1D36AB5-9F20-48E1-A9B5-6AC6E46D6E4F}" type="VALUE">
                  <a:rPr lang="en-US"/>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tables'!$I$19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tables'!$H$20:$H$32</c:f>
              <c:strCache>
                <c:ptCount val="12"/>
                <c:pt idx="0">
                  <c:v>Amanda Thomas</c:v>
                </c:pt>
                <c:pt idx="1">
                  <c:v>Ashley White</c:v>
                </c:pt>
                <c:pt idx="2">
                  <c:v>Chris Anderson</c:v>
                </c:pt>
                <c:pt idx="3">
                  <c:v>David Lee</c:v>
                </c:pt>
                <c:pt idx="4">
                  <c:v>Emily Davis</c:v>
                </c:pt>
                <c:pt idx="5">
                  <c:v>James Wilson</c:v>
                </c:pt>
                <c:pt idx="6">
                  <c:v>Jennifer Taylor</c:v>
                </c:pt>
                <c:pt idx="7">
                  <c:v>Joshua Jackson</c:v>
                </c:pt>
                <c:pt idx="8">
                  <c:v>Lisa Martinez</c:v>
                </c:pt>
                <c:pt idx="9">
                  <c:v>Mike Johnson</c:v>
                </c:pt>
                <c:pt idx="10">
                  <c:v>Robert Brown</c:v>
                </c:pt>
                <c:pt idx="11">
                  <c:v>Sarah Connor</c:v>
                </c:pt>
              </c:strCache>
            </c:strRef>
          </c:cat>
          <c:val>
            <c:numRef>
              <c:f>'Pivot tables'!$I$20:$I$32</c:f>
              <c:numCache>
                <c:formatCode>General</c:formatCode>
                <c:ptCount val="12"/>
                <c:pt idx="0">
                  <c:v>204.94117647058823</c:v>
                </c:pt>
                <c:pt idx="1">
                  <c:v>255.125</c:v>
                </c:pt>
                <c:pt idx="2">
                  <c:v>544.05882352941171</c:v>
                </c:pt>
                <c:pt idx="3">
                  <c:v>1213.2941176470588</c:v>
                </c:pt>
                <c:pt idx="4">
                  <c:v>227.8125</c:v>
                </c:pt>
                <c:pt idx="5">
                  <c:v>1344</c:v>
                </c:pt>
                <c:pt idx="6">
                  <c:v>544.75</c:v>
                </c:pt>
                <c:pt idx="7">
                  <c:v>646.88235294117646</c:v>
                </c:pt>
                <c:pt idx="8">
                  <c:v>287.35294117647061</c:v>
                </c:pt>
                <c:pt idx="9">
                  <c:v>553.94117647058829</c:v>
                </c:pt>
                <c:pt idx="10">
                  <c:v>594.35294117647061</c:v>
                </c:pt>
                <c:pt idx="11">
                  <c:v>500.8235294117647</c:v>
                </c:pt>
              </c:numCache>
            </c:numRef>
          </c:val>
          <c:extLst>
            <c:ext xmlns:c16="http://schemas.microsoft.com/office/drawing/2014/chart" uri="{C3380CC4-5D6E-409C-BE32-E72D297353CC}">
              <c16:uniqueId val="{00000005-106C-4DF3-AE7E-3FBB56D7D43B}"/>
            </c:ext>
          </c:extLst>
        </c:ser>
        <c:dLbls>
          <c:dLblPos val="outEnd"/>
          <c:showLegendKey val="0"/>
          <c:showVal val="1"/>
          <c:showCatName val="0"/>
          <c:showSerName val="0"/>
          <c:showPercent val="0"/>
          <c:showBubbleSize val="0"/>
        </c:dLbls>
        <c:gapWidth val="182"/>
        <c:axId val="1002246351"/>
        <c:axId val="969033471"/>
      </c:barChart>
      <c:catAx>
        <c:axId val="1002246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69033471"/>
        <c:crosses val="autoZero"/>
        <c:auto val="1"/>
        <c:lblAlgn val="ctr"/>
        <c:lblOffset val="100"/>
        <c:noMultiLvlLbl val="0"/>
      </c:catAx>
      <c:valAx>
        <c:axId val="9690334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02246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00B0F0"/>
        </a:gs>
        <a:gs pos="46000">
          <a:schemeClr val="tx2">
            <a:lumMod val="75000"/>
          </a:schemeClr>
        </a:gs>
        <a:gs pos="100000">
          <a:schemeClr val="tx2">
            <a:lumMod val="50000"/>
          </a:schemeClr>
        </a:gs>
      </a:gsLst>
      <a:path path="rect">
        <a:fillToRect l="100000" t="10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[Month1_Week4_Practice(AutoRecovered).xlsx]Pivot tables!PivotTable1</c:name>
    <c:fmtId val="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Units</a:t>
            </a:r>
            <a:r>
              <a:rPr lang="en-US" baseline="0">
                <a:solidFill>
                  <a:schemeClr val="bg1"/>
                </a:solidFill>
              </a:rPr>
              <a:t> Sold By Categetoy VS Revenue By Category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7375E"/>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w="3175">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3175">
            <a:solidFill>
              <a:schemeClr val="bg1"/>
            </a:solidFill>
          </a:ln>
          <a:effectLst/>
        </c:spPr>
        <c:dLbl>
          <c:idx val="0"/>
          <c:layout>
            <c:manualLayout>
              <c:x val="-0.38611111111111113"/>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t>Sports</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
        <c:spPr>
          <a:solidFill>
            <a:schemeClr val="accent1"/>
          </a:solidFill>
          <a:ln w="3175">
            <a:solidFill>
              <a:schemeClr val="bg1"/>
            </a:solidFill>
          </a:ln>
          <a:effectLst/>
        </c:spPr>
        <c:dLbl>
          <c:idx val="0"/>
          <c:layout>
            <c:manualLayout>
              <c:x val="-0.2"/>
              <c:y val="-4.2437781360066642E-1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t>Clothing</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
        <c:spPr>
          <a:solidFill>
            <a:schemeClr val="accent1"/>
          </a:solidFill>
          <a:ln w="3175">
            <a:solidFill>
              <a:schemeClr val="bg1"/>
            </a:solidFill>
          </a:ln>
          <a:effectLst/>
        </c:spPr>
        <c:dLbl>
          <c:idx val="0"/>
          <c:layout>
            <c:manualLayout>
              <c:x val="-0.2388888888888889"/>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t>Home Appliances</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5"/>
        <c:spPr>
          <a:solidFill>
            <a:schemeClr val="accent1"/>
          </a:solidFill>
          <a:ln w="3175">
            <a:solidFill>
              <a:schemeClr val="bg1"/>
            </a:solidFill>
          </a:ln>
          <a:effectLst/>
        </c:spPr>
        <c:dLbl>
          <c:idx val="0"/>
          <c:layout>
            <c:manualLayout>
              <c:x val="-9.4444444444444442E-2"/>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t>Beauty</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6"/>
        <c:spPr>
          <a:solidFill>
            <a:schemeClr val="accent1"/>
          </a:solidFill>
          <a:ln w="3175">
            <a:solidFill>
              <a:schemeClr val="bg1"/>
            </a:solidFill>
          </a:ln>
          <a:effectLst/>
        </c:spPr>
        <c:dLbl>
          <c:idx val="0"/>
          <c:layout>
            <c:manualLayout>
              <c:x val="-0.13055555555555559"/>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t>Electronics</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7"/>
        <c:spPr>
          <a:solidFill>
            <a:srgbClr val="17375E"/>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w="3175">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3175">
            <a:solidFill>
              <a:schemeClr val="bg1"/>
            </a:solidFill>
          </a:ln>
          <a:effectLst/>
        </c:spPr>
        <c:dLbl>
          <c:idx val="0"/>
          <c:layout>
            <c:manualLayout>
              <c:x val="-0.13055555555555559"/>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t>Electronics</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0"/>
        <c:spPr>
          <a:solidFill>
            <a:schemeClr val="accent1"/>
          </a:solidFill>
          <a:ln w="3175">
            <a:solidFill>
              <a:schemeClr val="bg1"/>
            </a:solidFill>
          </a:ln>
          <a:effectLst/>
        </c:spPr>
        <c:dLbl>
          <c:idx val="0"/>
          <c:layout>
            <c:manualLayout>
              <c:x val="-9.4444444444444442E-2"/>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t>Beauty</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1"/>
        <c:spPr>
          <a:solidFill>
            <a:schemeClr val="accent1"/>
          </a:solidFill>
          <a:ln w="3175">
            <a:solidFill>
              <a:schemeClr val="bg1"/>
            </a:solidFill>
          </a:ln>
          <a:effectLst/>
        </c:spPr>
        <c:dLbl>
          <c:idx val="0"/>
          <c:layout>
            <c:manualLayout>
              <c:x val="-0.2388888888888889"/>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t>Home Appliances</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2"/>
        <c:spPr>
          <a:solidFill>
            <a:schemeClr val="accent1"/>
          </a:solidFill>
          <a:ln w="3175">
            <a:solidFill>
              <a:schemeClr val="bg1"/>
            </a:solidFill>
          </a:ln>
          <a:effectLst/>
        </c:spPr>
        <c:dLbl>
          <c:idx val="0"/>
          <c:layout>
            <c:manualLayout>
              <c:x val="-0.2"/>
              <c:y val="-4.2437781360066642E-1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t>Clothing</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3"/>
        <c:spPr>
          <a:solidFill>
            <a:schemeClr val="accent1"/>
          </a:solidFill>
          <a:ln w="3175">
            <a:solidFill>
              <a:schemeClr val="bg1"/>
            </a:solidFill>
          </a:ln>
          <a:effectLst/>
        </c:spPr>
        <c:dLbl>
          <c:idx val="0"/>
          <c:layout>
            <c:manualLayout>
              <c:x val="-0.38611111111111113"/>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t>Sports</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4"/>
        <c:spPr>
          <a:solidFill>
            <a:srgbClr val="17375E"/>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w="3175">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3175">
            <a:solidFill>
              <a:schemeClr val="bg1"/>
            </a:solidFill>
          </a:ln>
          <a:effectLst/>
        </c:spPr>
        <c:dLbl>
          <c:idx val="0"/>
          <c:layout>
            <c:manualLayout>
              <c:x val="-0.13055555555555559"/>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t>Electronics</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7"/>
        <c:spPr>
          <a:solidFill>
            <a:schemeClr val="accent1"/>
          </a:solidFill>
          <a:ln w="3175">
            <a:solidFill>
              <a:schemeClr val="bg1"/>
            </a:solidFill>
          </a:ln>
          <a:effectLst/>
        </c:spPr>
        <c:dLbl>
          <c:idx val="0"/>
          <c:layout>
            <c:manualLayout>
              <c:x val="-9.4444444444444442E-2"/>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t>Beauty</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8"/>
        <c:spPr>
          <a:solidFill>
            <a:schemeClr val="accent1"/>
          </a:solidFill>
          <a:ln w="3175">
            <a:solidFill>
              <a:schemeClr val="bg1"/>
            </a:solidFill>
          </a:ln>
          <a:effectLst/>
        </c:spPr>
        <c:dLbl>
          <c:idx val="0"/>
          <c:layout>
            <c:manualLayout>
              <c:x val="-0.2"/>
              <c:y val="-4.2437781360066642E-1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t>Clothing</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9"/>
        <c:spPr>
          <a:solidFill>
            <a:schemeClr val="accent1"/>
          </a:solidFill>
          <a:ln w="3175">
            <a:solidFill>
              <a:schemeClr val="bg1"/>
            </a:solidFill>
          </a:ln>
          <a:effectLst/>
        </c:spPr>
        <c:dLbl>
          <c:idx val="0"/>
          <c:layout>
            <c:manualLayout>
              <c:x val="-0.2388888888888889"/>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t>Home Appliances</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0"/>
        <c:spPr>
          <a:solidFill>
            <a:schemeClr val="accent1"/>
          </a:solidFill>
          <a:ln w="3175">
            <a:solidFill>
              <a:schemeClr val="bg1"/>
            </a:solidFill>
          </a:ln>
          <a:effectLst/>
        </c:spPr>
        <c:dLbl>
          <c:idx val="0"/>
          <c:layout>
            <c:manualLayout>
              <c:x val="-0.38611111111111113"/>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t>Sports</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plotArea>
      <c:layout/>
      <c:barChart>
        <c:barDir val="col"/>
        <c:grouping val="clustered"/>
        <c:varyColors val="0"/>
        <c:ser>
          <c:idx val="1"/>
          <c:order val="1"/>
          <c:tx>
            <c:strRef>
              <c:f>'Pivot tables'!$C$29</c:f>
              <c:strCache>
                <c:ptCount val="1"/>
                <c:pt idx="0">
                  <c:v>Sum of Revenue ($)</c:v>
                </c:pt>
              </c:strCache>
            </c:strRef>
          </c:tx>
          <c:spPr>
            <a:solidFill>
              <a:srgbClr val="17375E"/>
            </a:solidFill>
            <a:ln w="3175">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w="3175">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tables'!$A$30:$A$35</c:f>
              <c:strCache>
                <c:ptCount val="5"/>
                <c:pt idx="0">
                  <c:v>Electronics</c:v>
                </c:pt>
                <c:pt idx="1">
                  <c:v>Beauty</c:v>
                </c:pt>
                <c:pt idx="2">
                  <c:v>Home Appliances</c:v>
                </c:pt>
                <c:pt idx="3">
                  <c:v>Clothing</c:v>
                </c:pt>
                <c:pt idx="4">
                  <c:v>Sports</c:v>
                </c:pt>
              </c:strCache>
            </c:strRef>
          </c:cat>
          <c:val>
            <c:numRef>
              <c:f>'Pivot tables'!$C$30:$C$35</c:f>
              <c:numCache>
                <c:formatCode>General</c:formatCode>
                <c:ptCount val="5"/>
                <c:pt idx="0">
                  <c:v>38960</c:v>
                </c:pt>
                <c:pt idx="1">
                  <c:v>3291</c:v>
                </c:pt>
                <c:pt idx="2">
                  <c:v>19170</c:v>
                </c:pt>
                <c:pt idx="3">
                  <c:v>6694</c:v>
                </c:pt>
                <c:pt idx="4">
                  <c:v>47108</c:v>
                </c:pt>
              </c:numCache>
            </c:numRef>
          </c:val>
          <c:extLst>
            <c:ext xmlns:c16="http://schemas.microsoft.com/office/drawing/2014/chart" uri="{C3380CC4-5D6E-409C-BE32-E72D297353CC}">
              <c16:uniqueId val="{00000000-E0ED-4528-8615-7F201B77CA11}"/>
            </c:ext>
          </c:extLst>
        </c:ser>
        <c:dLbls>
          <c:showLegendKey val="0"/>
          <c:showVal val="1"/>
          <c:showCatName val="0"/>
          <c:showSerName val="0"/>
          <c:showPercent val="0"/>
          <c:showBubbleSize val="0"/>
        </c:dLbls>
        <c:gapWidth val="219"/>
        <c:overlap val="26"/>
        <c:axId val="1250541631"/>
        <c:axId val="1223071423"/>
      </c:barChart>
      <c:barChart>
        <c:barDir val="bar"/>
        <c:grouping val="clustered"/>
        <c:varyColors val="0"/>
        <c:ser>
          <c:idx val="0"/>
          <c:order val="0"/>
          <c:tx>
            <c:strRef>
              <c:f>'Pivot tables'!$B$29</c:f>
              <c:strCache>
                <c:ptCount val="1"/>
                <c:pt idx="0">
                  <c:v>Sum of Units Sold</c:v>
                </c:pt>
              </c:strCache>
            </c:strRef>
          </c:tx>
          <c:spPr>
            <a:solidFill>
              <a:schemeClr val="accent1"/>
            </a:solidFill>
            <a:ln w="3175">
              <a:solidFill>
                <a:schemeClr val="bg1"/>
              </a:solidFill>
            </a:ln>
            <a:effectLst/>
          </c:spPr>
          <c:invertIfNegative val="0"/>
          <c:dPt>
            <c:idx val="0"/>
            <c:invertIfNegative val="0"/>
            <c:bubble3D val="0"/>
            <c:spPr>
              <a:solidFill>
                <a:schemeClr val="accent1"/>
              </a:solidFill>
              <a:ln w="3175">
                <a:solidFill>
                  <a:schemeClr val="bg1"/>
                </a:solidFill>
              </a:ln>
              <a:effectLst/>
            </c:spPr>
            <c:extLst>
              <c:ext xmlns:c16="http://schemas.microsoft.com/office/drawing/2014/chart" uri="{C3380CC4-5D6E-409C-BE32-E72D297353CC}">
                <c16:uniqueId val="{00000001-E0ED-4528-8615-7F201B77CA11}"/>
              </c:ext>
            </c:extLst>
          </c:dPt>
          <c:dPt>
            <c:idx val="1"/>
            <c:invertIfNegative val="0"/>
            <c:bubble3D val="0"/>
            <c:spPr>
              <a:solidFill>
                <a:schemeClr val="accent1"/>
              </a:solidFill>
              <a:ln w="3175">
                <a:solidFill>
                  <a:schemeClr val="bg1"/>
                </a:solidFill>
              </a:ln>
              <a:effectLst/>
            </c:spPr>
            <c:extLst>
              <c:ext xmlns:c16="http://schemas.microsoft.com/office/drawing/2014/chart" uri="{C3380CC4-5D6E-409C-BE32-E72D297353CC}">
                <c16:uniqueId val="{00000002-E0ED-4528-8615-7F201B77CA11}"/>
              </c:ext>
            </c:extLst>
          </c:dPt>
          <c:dPt>
            <c:idx val="2"/>
            <c:invertIfNegative val="0"/>
            <c:bubble3D val="0"/>
            <c:spPr>
              <a:solidFill>
                <a:schemeClr val="accent1"/>
              </a:solidFill>
              <a:ln w="3175">
                <a:solidFill>
                  <a:schemeClr val="bg1"/>
                </a:solidFill>
              </a:ln>
              <a:effectLst/>
            </c:spPr>
            <c:extLst>
              <c:ext xmlns:c16="http://schemas.microsoft.com/office/drawing/2014/chart" uri="{C3380CC4-5D6E-409C-BE32-E72D297353CC}">
                <c16:uniqueId val="{00000003-E0ED-4528-8615-7F201B77CA11}"/>
              </c:ext>
            </c:extLst>
          </c:dPt>
          <c:dPt>
            <c:idx val="3"/>
            <c:invertIfNegative val="0"/>
            <c:bubble3D val="0"/>
            <c:spPr>
              <a:solidFill>
                <a:schemeClr val="accent1"/>
              </a:solidFill>
              <a:ln w="3175">
                <a:solidFill>
                  <a:schemeClr val="bg1"/>
                </a:solidFill>
              </a:ln>
              <a:effectLst/>
            </c:spPr>
            <c:extLst>
              <c:ext xmlns:c16="http://schemas.microsoft.com/office/drawing/2014/chart" uri="{C3380CC4-5D6E-409C-BE32-E72D297353CC}">
                <c16:uniqueId val="{00000004-E0ED-4528-8615-7F201B77CA11}"/>
              </c:ext>
            </c:extLst>
          </c:dPt>
          <c:dPt>
            <c:idx val="4"/>
            <c:invertIfNegative val="0"/>
            <c:bubble3D val="0"/>
            <c:spPr>
              <a:solidFill>
                <a:schemeClr val="accent1"/>
              </a:solidFill>
              <a:ln w="3175">
                <a:solidFill>
                  <a:schemeClr val="bg1"/>
                </a:solidFill>
              </a:ln>
              <a:effectLst/>
            </c:spPr>
            <c:extLst>
              <c:ext xmlns:c16="http://schemas.microsoft.com/office/drawing/2014/chart" uri="{C3380CC4-5D6E-409C-BE32-E72D297353CC}">
                <c16:uniqueId val="{00000005-E0ED-4528-8615-7F201B77CA11}"/>
              </c:ext>
            </c:extLst>
          </c:dPt>
          <c:dLbls>
            <c:dLbl>
              <c:idx val="0"/>
              <c:layout>
                <c:manualLayout>
                  <c:x val="-0.13055555555555559"/>
                  <c:y val="0"/>
                </c:manualLayout>
              </c:layout>
              <c:tx>
                <c:rich>
                  <a:bodyPr/>
                  <a:lstStyle/>
                  <a:p>
                    <a:r>
                      <a:rPr lang="en-US"/>
                      <a:t>Electronics</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0ED-4528-8615-7F201B77CA11}"/>
                </c:ext>
              </c:extLst>
            </c:dLbl>
            <c:dLbl>
              <c:idx val="1"/>
              <c:layout>
                <c:manualLayout>
                  <c:x val="-9.4444444444444442E-2"/>
                  <c:y val="0"/>
                </c:manualLayout>
              </c:layout>
              <c:tx>
                <c:rich>
                  <a:bodyPr/>
                  <a:lstStyle/>
                  <a:p>
                    <a:r>
                      <a:rPr lang="en-US"/>
                      <a:t>Beauty</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E0ED-4528-8615-7F201B77CA11}"/>
                </c:ext>
              </c:extLst>
            </c:dLbl>
            <c:dLbl>
              <c:idx val="2"/>
              <c:layout>
                <c:manualLayout>
                  <c:x val="-0.2"/>
                  <c:y val="-4.2437781360066642E-17"/>
                </c:manualLayout>
              </c:layout>
              <c:tx>
                <c:rich>
                  <a:bodyPr/>
                  <a:lstStyle/>
                  <a:p>
                    <a:r>
                      <a:rPr lang="en-US"/>
                      <a:t>Clothing</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E0ED-4528-8615-7F201B77CA11}"/>
                </c:ext>
              </c:extLst>
            </c:dLbl>
            <c:dLbl>
              <c:idx val="3"/>
              <c:layout>
                <c:manualLayout>
                  <c:x val="-0.2388888888888889"/>
                  <c:y val="0"/>
                </c:manualLayout>
              </c:layout>
              <c:tx>
                <c:rich>
                  <a:bodyPr/>
                  <a:lstStyle/>
                  <a:p>
                    <a:r>
                      <a:rPr lang="en-US"/>
                      <a:t>Home Appliances</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E0ED-4528-8615-7F201B77CA11}"/>
                </c:ext>
              </c:extLst>
            </c:dLbl>
            <c:dLbl>
              <c:idx val="4"/>
              <c:layout>
                <c:manualLayout>
                  <c:x val="-0.38611111111111113"/>
                  <c:y val="0"/>
                </c:manualLayout>
              </c:layout>
              <c:tx>
                <c:rich>
                  <a:bodyPr/>
                  <a:lstStyle/>
                  <a:p>
                    <a:r>
                      <a:rPr lang="en-US"/>
                      <a:t>Sports</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E0ED-4528-8615-7F201B77CA1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tables'!$A$30:$A$35</c:f>
              <c:strCache>
                <c:ptCount val="5"/>
                <c:pt idx="0">
                  <c:v>Electronics</c:v>
                </c:pt>
                <c:pt idx="1">
                  <c:v>Beauty</c:v>
                </c:pt>
                <c:pt idx="2">
                  <c:v>Home Appliances</c:v>
                </c:pt>
                <c:pt idx="3">
                  <c:v>Clothing</c:v>
                </c:pt>
                <c:pt idx="4">
                  <c:v>Sports</c:v>
                </c:pt>
              </c:strCache>
            </c:strRef>
          </c:cat>
          <c:val>
            <c:numRef>
              <c:f>'Pivot tables'!$B$30:$B$35</c:f>
              <c:numCache>
                <c:formatCode>General</c:formatCode>
                <c:ptCount val="5"/>
                <c:pt idx="0">
                  <c:v>40</c:v>
                </c:pt>
                <c:pt idx="1">
                  <c:v>40</c:v>
                </c:pt>
                <c:pt idx="2">
                  <c:v>60</c:v>
                </c:pt>
                <c:pt idx="3">
                  <c:v>60</c:v>
                </c:pt>
                <c:pt idx="4">
                  <c:v>100</c:v>
                </c:pt>
              </c:numCache>
            </c:numRef>
          </c:val>
          <c:extLst>
            <c:ext xmlns:c16="http://schemas.microsoft.com/office/drawing/2014/chart" uri="{C3380CC4-5D6E-409C-BE32-E72D297353CC}">
              <c16:uniqueId val="{00000006-E0ED-4528-8615-7F201B77CA11}"/>
            </c:ext>
          </c:extLst>
        </c:ser>
        <c:dLbls>
          <c:showLegendKey val="0"/>
          <c:showVal val="1"/>
          <c:showCatName val="0"/>
          <c:showSerName val="0"/>
          <c:showPercent val="0"/>
          <c:showBubbleSize val="0"/>
        </c:dLbls>
        <c:gapWidth val="119"/>
        <c:overlap val="26"/>
        <c:axId val="1204164575"/>
        <c:axId val="1223099263"/>
      </c:barChart>
      <c:catAx>
        <c:axId val="1250541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23071423"/>
        <c:crosses val="autoZero"/>
        <c:auto val="1"/>
        <c:lblAlgn val="ctr"/>
        <c:lblOffset val="100"/>
        <c:noMultiLvlLbl val="0"/>
      </c:catAx>
      <c:valAx>
        <c:axId val="1223071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50541631"/>
        <c:crosses val="autoZero"/>
        <c:crossBetween val="between"/>
      </c:valAx>
      <c:valAx>
        <c:axId val="1223099263"/>
        <c:scaling>
          <c:orientation val="minMax"/>
        </c:scaling>
        <c:delete val="0"/>
        <c:axPos val="t"/>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04164575"/>
        <c:crosses val="max"/>
        <c:crossBetween val="between"/>
      </c:valAx>
      <c:catAx>
        <c:axId val="1204164575"/>
        <c:scaling>
          <c:orientation val="minMax"/>
        </c:scaling>
        <c:delete val="1"/>
        <c:axPos val="l"/>
        <c:numFmt formatCode="General" sourceLinked="1"/>
        <c:majorTickMark val="out"/>
        <c:minorTickMark val="none"/>
        <c:tickLblPos val="nextTo"/>
        <c:crossAx val="122309926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00B0F0"/>
        </a:gs>
        <a:gs pos="46000">
          <a:schemeClr val="tx2">
            <a:lumMod val="75000"/>
          </a:schemeClr>
        </a:gs>
        <a:gs pos="100000">
          <a:schemeClr val="tx2">
            <a:lumMod val="50000"/>
          </a:schemeClr>
        </a:gs>
      </a:gsLst>
      <a:path path="rect">
        <a:fillToRect l="100000" t="100000"/>
      </a:path>
      <a:tileRect r="-100000" b="-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[Month1_Week4_Practice(AutoRecovered).xlsx]Pivot tables!PivotTable7</c:name>
    <c:fmtId val="1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a:t>
            </a:r>
            <a:r>
              <a:rPr lang="en-US" baseline="0">
                <a:solidFill>
                  <a:schemeClr val="bg1"/>
                </a:solidFill>
              </a:rPr>
              <a:t> 3 Sales Rep By Revenue</a:t>
            </a:r>
            <a:endParaRPr lang="en-US">
              <a:solidFill>
                <a:schemeClr val="bg1"/>
              </a:solidFill>
            </a:endParaRPr>
          </a:p>
        </c:rich>
      </c:tx>
      <c:layout>
        <c:manualLayout>
          <c:xMode val="edge"/>
          <c:yMode val="edge"/>
          <c:x val="0.27416666666666667"/>
          <c:y val="0.1391303712745081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1B4FF"/>
          </a:solidFill>
          <a:ln w="41275" cap="rnd">
            <a:solidFill>
              <a:srgbClr val="61B4FF"/>
            </a:solidFill>
            <a:bevel/>
          </a:ln>
          <a:effectLst/>
          <a:sp3d contourW="41275">
            <a:contourClr>
              <a:srgbClr val="61B4FF"/>
            </a:contourClr>
          </a:sp3d>
        </c:spPr>
      </c:pivotFmt>
      <c:pivotFmt>
        <c:idx val="2"/>
        <c:spPr>
          <a:solidFill>
            <a:srgbClr val="0081F6"/>
          </a:solidFill>
          <a:ln w="41275" cap="rnd">
            <a:solidFill>
              <a:srgbClr val="0081F6"/>
            </a:solidFill>
            <a:bevel/>
          </a:ln>
          <a:effectLst/>
          <a:sp3d contourW="41275">
            <a:contourClr>
              <a:srgbClr val="0081F6"/>
            </a:contourClr>
          </a:sp3d>
        </c:spPr>
      </c:pivotFmt>
      <c:pivotFmt>
        <c:idx val="3"/>
        <c:spPr>
          <a:solidFill>
            <a:srgbClr val="004F96"/>
          </a:solidFill>
          <a:ln w="41275" cap="rnd">
            <a:solidFill>
              <a:srgbClr val="004F96"/>
            </a:solidFill>
            <a:bevel/>
          </a:ln>
          <a:effectLst/>
          <a:sp3d contourW="41275">
            <a:contourClr>
              <a:srgbClr val="004F96"/>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1B4FF"/>
          </a:solidFill>
          <a:ln w="41275" cap="rnd">
            <a:solidFill>
              <a:srgbClr val="61B4FF"/>
            </a:solidFill>
            <a:bevel/>
          </a:ln>
          <a:effectLst/>
          <a:sp3d contourW="41275">
            <a:contourClr>
              <a:srgbClr val="61B4FF"/>
            </a:contourClr>
          </a:sp3d>
        </c:spPr>
      </c:pivotFmt>
      <c:pivotFmt>
        <c:idx val="6"/>
        <c:spPr>
          <a:solidFill>
            <a:srgbClr val="0081F6"/>
          </a:solidFill>
          <a:ln w="41275" cap="rnd">
            <a:solidFill>
              <a:srgbClr val="0081F6"/>
            </a:solidFill>
            <a:bevel/>
          </a:ln>
          <a:effectLst/>
          <a:sp3d contourW="41275">
            <a:contourClr>
              <a:srgbClr val="0081F6"/>
            </a:contourClr>
          </a:sp3d>
        </c:spPr>
      </c:pivotFmt>
      <c:pivotFmt>
        <c:idx val="7"/>
        <c:spPr>
          <a:solidFill>
            <a:srgbClr val="004F96"/>
          </a:solidFill>
          <a:ln w="41275" cap="rnd">
            <a:solidFill>
              <a:srgbClr val="004F96"/>
            </a:solidFill>
            <a:bevel/>
          </a:ln>
          <a:effectLst/>
          <a:sp3d contourW="41275">
            <a:contourClr>
              <a:srgbClr val="004F96"/>
            </a:contourClr>
          </a:sp3d>
        </c:spPr>
      </c:pivotFmt>
      <c:pivotFmt>
        <c:idx val="8"/>
        <c:spPr>
          <a:solidFill>
            <a:schemeClr val="accent1"/>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1B4FF"/>
          </a:solidFill>
          <a:ln w="3175" cap="rnd">
            <a:solidFill>
              <a:schemeClr val="bg1"/>
            </a:solidFill>
            <a:bevel/>
          </a:ln>
          <a:effectLst/>
          <a:sp3d contourW="41275">
            <a:contourClr>
              <a:srgbClr val="61B4FF"/>
            </a:contourClr>
          </a:sp3d>
        </c:spPr>
      </c:pivotFmt>
      <c:pivotFmt>
        <c:idx val="10"/>
        <c:spPr>
          <a:solidFill>
            <a:srgbClr val="0081F6"/>
          </a:solidFill>
          <a:ln w="3175" cap="rnd">
            <a:solidFill>
              <a:schemeClr val="bg1"/>
            </a:solidFill>
            <a:bevel/>
          </a:ln>
          <a:effectLst/>
          <a:sp3d contourW="41275">
            <a:contourClr>
              <a:srgbClr val="0081F6"/>
            </a:contourClr>
          </a:sp3d>
        </c:spPr>
      </c:pivotFmt>
      <c:pivotFmt>
        <c:idx val="11"/>
        <c:spPr>
          <a:solidFill>
            <a:srgbClr val="004F96"/>
          </a:solidFill>
          <a:ln w="3175" cap="rnd">
            <a:solidFill>
              <a:schemeClr val="bg1"/>
            </a:solidFill>
            <a:bevel/>
          </a:ln>
          <a:effectLst/>
          <a:sp3d contourW="41275">
            <a:contourClr>
              <a:srgbClr val="004F96"/>
            </a:contourClr>
          </a:sp3d>
        </c:spPr>
      </c:pivotFmt>
      <c:pivotFmt>
        <c:idx val="12"/>
        <c:spPr>
          <a:solidFill>
            <a:schemeClr val="accent1"/>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4F96"/>
          </a:solidFill>
          <a:ln w="3175" cap="rnd">
            <a:solidFill>
              <a:schemeClr val="bg1"/>
            </a:solidFill>
            <a:bevel/>
          </a:ln>
          <a:effectLst/>
          <a:sp3d contourW="41275">
            <a:contourClr>
              <a:srgbClr val="004F96"/>
            </a:contourClr>
          </a:sp3d>
        </c:spPr>
      </c:pivotFmt>
      <c:pivotFmt>
        <c:idx val="14"/>
        <c:spPr>
          <a:solidFill>
            <a:srgbClr val="0081F6"/>
          </a:solidFill>
          <a:ln w="3175" cap="rnd">
            <a:solidFill>
              <a:schemeClr val="bg1"/>
            </a:solidFill>
            <a:bevel/>
          </a:ln>
          <a:effectLst/>
          <a:sp3d contourW="41275">
            <a:contourClr>
              <a:srgbClr val="0081F6"/>
            </a:contourClr>
          </a:sp3d>
        </c:spPr>
      </c:pivotFmt>
      <c:pivotFmt>
        <c:idx val="15"/>
        <c:spPr>
          <a:solidFill>
            <a:srgbClr val="61B4FF"/>
          </a:solidFill>
          <a:ln w="3175" cap="rnd">
            <a:solidFill>
              <a:schemeClr val="bg1"/>
            </a:solidFill>
            <a:bevel/>
          </a:ln>
          <a:effectLst/>
          <a:sp3d contourW="41275">
            <a:contourClr>
              <a:srgbClr val="61B4FF"/>
            </a:contourClr>
          </a:sp3d>
        </c:spPr>
      </c:pivotFmt>
      <c:pivotFmt>
        <c:idx val="16"/>
        <c:spPr>
          <a:solidFill>
            <a:schemeClr val="tx1"/>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175">
                    <a:noFill/>
                  </a:ln>
                  <a:solidFill>
                    <a:schemeClr val="bg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7"/>
        <c:spPr>
          <a:solidFill>
            <a:srgbClr val="D1E8FF"/>
          </a:solidFill>
          <a:ln w="12700" cap="rnd">
            <a:solidFill>
              <a:schemeClr val="tx1"/>
            </a:solidFill>
            <a:bevel/>
          </a:ln>
          <a:effectLst/>
          <a:sp3d contourW="41275">
            <a:contourClr>
              <a:srgbClr val="004F96"/>
            </a:contourClr>
          </a:sp3d>
        </c:spPr>
      </c:pivotFmt>
      <c:pivotFmt>
        <c:idx val="18"/>
        <c:spPr>
          <a:solidFill>
            <a:srgbClr val="D1E8FF"/>
          </a:solidFill>
          <a:ln w="12700" cap="rnd">
            <a:solidFill>
              <a:schemeClr val="tx1"/>
            </a:solidFill>
            <a:bevel/>
          </a:ln>
          <a:effectLst/>
          <a:sp3d contourW="41275">
            <a:contourClr>
              <a:srgbClr val="0081F6"/>
            </a:contourClr>
          </a:sp3d>
        </c:spPr>
      </c:pivotFmt>
      <c:pivotFmt>
        <c:idx val="19"/>
        <c:spPr>
          <a:solidFill>
            <a:srgbClr val="D1E8FF"/>
          </a:solidFill>
          <a:ln w="12700" cap="rnd">
            <a:solidFill>
              <a:schemeClr val="tx1"/>
            </a:solidFill>
            <a:bevel/>
          </a:ln>
          <a:effectLst/>
          <a:sp3d contourW="41275">
            <a:contourClr>
              <a:srgbClr val="61B4FF"/>
            </a:contourClr>
          </a:sp3d>
        </c:spPr>
      </c:pivotFmt>
      <c:pivotFmt>
        <c:idx val="20"/>
        <c:spPr>
          <a:solidFill>
            <a:srgbClr val="D1E8FF"/>
          </a:solidFill>
          <a:ln w="12700" cap="rnd">
            <a:solidFill>
              <a:schemeClr val="tx1"/>
            </a:solidFill>
            <a:bevel/>
          </a:ln>
          <a:effectLst/>
          <a:sp3d contourW="41275">
            <a:contourClr>
              <a:srgbClr val="004F96"/>
            </a:contourClr>
          </a:sp3d>
        </c:spPr>
      </c:pivotFmt>
      <c:pivotFmt>
        <c:idx val="21"/>
        <c:spPr>
          <a:solidFill>
            <a:srgbClr val="D1E8FF"/>
          </a:solidFill>
          <a:ln w="12700" cap="rnd">
            <a:solidFill>
              <a:schemeClr val="tx1"/>
            </a:solidFill>
            <a:bevel/>
          </a:ln>
          <a:effectLst/>
          <a:sp3d contourW="41275">
            <a:contourClr>
              <a:srgbClr val="0081F6"/>
            </a:contourClr>
          </a:sp3d>
        </c:spPr>
      </c:pivotFmt>
    </c:pivotFmts>
    <c:plotArea>
      <c:layout/>
      <c:doughnutChart>
        <c:varyColors val="1"/>
        <c:ser>
          <c:idx val="0"/>
          <c:order val="0"/>
          <c:tx>
            <c:strRef>
              <c:f>'Pivot tables'!$F$3</c:f>
              <c:strCache>
                <c:ptCount val="1"/>
                <c:pt idx="0">
                  <c:v>Total</c:v>
                </c:pt>
              </c:strCache>
            </c:strRef>
          </c:tx>
          <c:spPr>
            <a:solidFill>
              <a:schemeClr val="tx1"/>
            </a:solidFill>
            <a:ln w="12700">
              <a:solidFill>
                <a:schemeClr val="tx1"/>
              </a:solidFill>
            </a:ln>
          </c:spPr>
          <c:dPt>
            <c:idx val="0"/>
            <c:bubble3D val="0"/>
            <c:spPr>
              <a:solidFill>
                <a:srgbClr val="D1E8FF"/>
              </a:solidFill>
              <a:ln w="12700" cap="rnd">
                <a:solidFill>
                  <a:schemeClr val="tx1"/>
                </a:solidFill>
                <a:bevel/>
              </a:ln>
              <a:effectLst/>
              <a:sp3d contourW="41275">
                <a:contourClr>
                  <a:srgbClr val="004F96"/>
                </a:contourClr>
              </a:sp3d>
            </c:spPr>
            <c:extLst>
              <c:ext xmlns:c16="http://schemas.microsoft.com/office/drawing/2014/chart" uri="{C3380CC4-5D6E-409C-BE32-E72D297353CC}">
                <c16:uniqueId val="{00000001-7C5B-45EE-9FDB-0DFD92DFD157}"/>
              </c:ext>
            </c:extLst>
          </c:dPt>
          <c:dPt>
            <c:idx val="1"/>
            <c:bubble3D val="0"/>
            <c:explosion val="5"/>
            <c:spPr>
              <a:solidFill>
                <a:srgbClr val="D1E8FF"/>
              </a:solidFill>
              <a:ln w="12700" cap="rnd">
                <a:solidFill>
                  <a:schemeClr val="tx1"/>
                </a:solidFill>
                <a:bevel/>
              </a:ln>
              <a:effectLst/>
              <a:sp3d contourW="41275">
                <a:contourClr>
                  <a:srgbClr val="0081F6"/>
                </a:contourClr>
              </a:sp3d>
            </c:spPr>
            <c:extLst>
              <c:ext xmlns:c16="http://schemas.microsoft.com/office/drawing/2014/chart" uri="{C3380CC4-5D6E-409C-BE32-E72D297353CC}">
                <c16:uniqueId val="{00000003-7C5B-45EE-9FDB-0DFD92DFD157}"/>
              </c:ext>
            </c:extLst>
          </c:dPt>
          <c:dPt>
            <c:idx val="2"/>
            <c:bubble3D val="0"/>
            <c:spPr>
              <a:solidFill>
                <a:srgbClr val="D1E8FF"/>
              </a:solidFill>
              <a:ln w="12700" cap="rnd">
                <a:solidFill>
                  <a:schemeClr val="tx1"/>
                </a:solidFill>
                <a:bevel/>
              </a:ln>
              <a:effectLst/>
              <a:sp3d contourW="41275">
                <a:contourClr>
                  <a:srgbClr val="61B4FF"/>
                </a:contourClr>
              </a:sp3d>
            </c:spPr>
            <c:extLst>
              <c:ext xmlns:c16="http://schemas.microsoft.com/office/drawing/2014/chart" uri="{C3380CC4-5D6E-409C-BE32-E72D297353CC}">
                <c16:uniqueId val="{00000005-7C5B-45EE-9FDB-0DFD92DFD15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175">
                      <a:noFill/>
                    </a:ln>
                    <a:solidFill>
                      <a:schemeClr val="bg1"/>
                    </a:solidFill>
                    <a:latin typeface="+mn-lt"/>
                    <a:ea typeface="+mn-ea"/>
                    <a:cs typeface="+mn-cs"/>
                  </a:defRPr>
                </a:pPr>
                <a:endParaRPr lang="en-US"/>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tables'!$E$4:$E$7</c:f>
              <c:strCache>
                <c:ptCount val="3"/>
                <c:pt idx="0">
                  <c:v>Joshua Jackson</c:v>
                </c:pt>
                <c:pt idx="1">
                  <c:v>David Lee</c:v>
                </c:pt>
                <c:pt idx="2">
                  <c:v>James Wilson</c:v>
                </c:pt>
              </c:strCache>
            </c:strRef>
          </c:cat>
          <c:val>
            <c:numRef>
              <c:f>'Pivot tables'!$F$4:$F$7</c:f>
              <c:numCache>
                <c:formatCode>General</c:formatCode>
                <c:ptCount val="3"/>
                <c:pt idx="0">
                  <c:v>10997</c:v>
                </c:pt>
                <c:pt idx="1">
                  <c:v>20626</c:v>
                </c:pt>
                <c:pt idx="2">
                  <c:v>21504</c:v>
                </c:pt>
              </c:numCache>
            </c:numRef>
          </c:val>
          <c:extLst>
            <c:ext xmlns:c16="http://schemas.microsoft.com/office/drawing/2014/chart" uri="{C3380CC4-5D6E-409C-BE32-E72D297353CC}">
              <c16:uniqueId val="{00000006-7C5B-45EE-9FDB-0DFD92DFD157}"/>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[Month1_Week4_Practice(AutoRecovered).xlsx]Sheet1!PivotTable1</c:name>
    <c:fmtId val="4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Revenue</a:t>
            </a:r>
            <a:r>
              <a:rPr lang="en-US" baseline="0">
                <a:solidFill>
                  <a:schemeClr val="bg1"/>
                </a:solidFill>
              </a:rPr>
              <a:t> By Category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1E8FF"/>
          </a:solidFill>
          <a:ln w="44450" cap="rnd">
            <a:solidFill>
              <a:srgbClr val="D1E8FF"/>
            </a:solidFill>
            <a:bevel/>
          </a:ln>
          <a:effectLst/>
          <a:sp3d contourW="44450">
            <a:contourClr>
              <a:srgbClr val="D1E8FF"/>
            </a:contourClr>
          </a:sp3d>
        </c:spPr>
      </c:pivotFmt>
      <c:pivotFmt>
        <c:idx val="2"/>
        <c:spPr>
          <a:solidFill>
            <a:srgbClr val="1960FF"/>
          </a:solidFill>
          <a:ln w="28575" cap="rnd" cmpd="sng">
            <a:solidFill>
              <a:srgbClr val="1960FF"/>
            </a:solidFill>
            <a:bevel/>
          </a:ln>
          <a:effectLst/>
          <a:sp3d contourW="28575">
            <a:contourClr>
              <a:srgbClr val="1960FF"/>
            </a:contourClr>
          </a:sp3d>
        </c:spPr>
      </c:pivotFmt>
      <c:pivotFmt>
        <c:idx val="3"/>
        <c:spPr>
          <a:solidFill>
            <a:srgbClr val="0036B0"/>
          </a:solidFill>
          <a:ln w="15875" cap="rnd">
            <a:solidFill>
              <a:srgbClr val="0036B0"/>
            </a:solidFill>
            <a:bevel/>
          </a:ln>
          <a:effectLst/>
          <a:sp3d contourW="15875">
            <a:contourClr>
              <a:srgbClr val="0036B0"/>
            </a:contourClr>
          </a:sp3d>
        </c:spPr>
      </c:pivotFmt>
      <c:pivotFmt>
        <c:idx val="4"/>
        <c:spPr>
          <a:solidFill>
            <a:srgbClr val="5D8FFF"/>
          </a:solidFill>
          <a:ln w="31750" cap="rnd">
            <a:solidFill>
              <a:srgbClr val="5D8FFF"/>
            </a:solidFill>
            <a:bevel/>
          </a:ln>
          <a:effectLst/>
          <a:sp3d contourW="31750">
            <a:contourClr>
              <a:srgbClr val="5D8FFF"/>
            </a:contourClr>
          </a:sp3d>
        </c:spPr>
      </c:pivotFmt>
      <c:pivotFmt>
        <c:idx val="5"/>
        <c:spPr>
          <a:solidFill>
            <a:srgbClr val="9FBDFF"/>
          </a:solidFill>
          <a:ln w="31750" cap="rnd">
            <a:solidFill>
              <a:srgbClr val="9FBDFF"/>
            </a:solidFill>
            <a:bevel/>
          </a:ln>
          <a:effectLst/>
          <a:sp3d contourW="31750">
            <a:contourClr>
              <a:srgbClr val="9FBDFF"/>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1E8FF"/>
          </a:solidFill>
          <a:ln w="44450" cap="rnd">
            <a:solidFill>
              <a:srgbClr val="D1E8FF"/>
            </a:solidFill>
            <a:bevel/>
          </a:ln>
          <a:effectLst/>
          <a:sp3d contourW="44450">
            <a:contourClr>
              <a:srgbClr val="D1E8FF"/>
            </a:contourClr>
          </a:sp3d>
        </c:spPr>
      </c:pivotFmt>
      <c:pivotFmt>
        <c:idx val="8"/>
        <c:spPr>
          <a:solidFill>
            <a:srgbClr val="9FBDFF"/>
          </a:solidFill>
          <a:ln w="31750" cap="rnd">
            <a:solidFill>
              <a:srgbClr val="9FBDFF"/>
            </a:solidFill>
            <a:bevel/>
          </a:ln>
          <a:effectLst/>
          <a:sp3d contourW="31750">
            <a:contourClr>
              <a:srgbClr val="9FBDFF"/>
            </a:contourClr>
          </a:sp3d>
        </c:spPr>
      </c:pivotFmt>
      <c:pivotFmt>
        <c:idx val="9"/>
        <c:spPr>
          <a:solidFill>
            <a:srgbClr val="5D8FFF"/>
          </a:solidFill>
          <a:ln w="31750" cap="rnd">
            <a:solidFill>
              <a:srgbClr val="5D8FFF"/>
            </a:solidFill>
            <a:bevel/>
          </a:ln>
          <a:effectLst/>
          <a:sp3d contourW="31750">
            <a:contourClr>
              <a:srgbClr val="5D8FFF"/>
            </a:contourClr>
          </a:sp3d>
        </c:spPr>
      </c:pivotFmt>
      <c:pivotFmt>
        <c:idx val="10"/>
        <c:spPr>
          <a:solidFill>
            <a:srgbClr val="1960FF"/>
          </a:solidFill>
          <a:ln w="28575" cap="rnd" cmpd="sng">
            <a:solidFill>
              <a:srgbClr val="1960FF"/>
            </a:solidFill>
            <a:bevel/>
          </a:ln>
          <a:effectLst/>
          <a:sp3d contourW="28575">
            <a:contourClr>
              <a:srgbClr val="1960FF"/>
            </a:contourClr>
          </a:sp3d>
        </c:spPr>
      </c:pivotFmt>
      <c:pivotFmt>
        <c:idx val="11"/>
        <c:spPr>
          <a:solidFill>
            <a:srgbClr val="0036B0"/>
          </a:solidFill>
          <a:ln w="15875" cap="rnd">
            <a:solidFill>
              <a:srgbClr val="0036B0"/>
            </a:solidFill>
            <a:bevel/>
          </a:ln>
          <a:effectLst/>
          <a:sp3d contourW="15875">
            <a:contourClr>
              <a:srgbClr val="0036B0"/>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D1E8FF"/>
          </a:solidFill>
          <a:ln w="44450" cap="rnd">
            <a:solidFill>
              <a:srgbClr val="D1E8FF"/>
            </a:solidFill>
            <a:bevel/>
          </a:ln>
          <a:effectLst/>
          <a:sp3d contourW="44450">
            <a:contourClr>
              <a:srgbClr val="D1E8FF"/>
            </a:contourClr>
          </a:sp3d>
        </c:spPr>
      </c:pivotFmt>
      <c:pivotFmt>
        <c:idx val="14"/>
        <c:spPr>
          <a:solidFill>
            <a:srgbClr val="9FBDFF"/>
          </a:solidFill>
          <a:ln w="31750" cap="rnd">
            <a:solidFill>
              <a:srgbClr val="9FBDFF"/>
            </a:solidFill>
            <a:bevel/>
          </a:ln>
          <a:effectLst/>
          <a:sp3d contourW="31750">
            <a:contourClr>
              <a:srgbClr val="9FBDFF"/>
            </a:contourClr>
          </a:sp3d>
        </c:spPr>
      </c:pivotFmt>
      <c:pivotFmt>
        <c:idx val="15"/>
        <c:spPr>
          <a:solidFill>
            <a:srgbClr val="5D8FFF"/>
          </a:solidFill>
          <a:ln w="31750" cap="rnd">
            <a:solidFill>
              <a:srgbClr val="5D8FFF"/>
            </a:solidFill>
            <a:bevel/>
          </a:ln>
          <a:effectLst/>
          <a:sp3d contourW="31750">
            <a:contourClr>
              <a:srgbClr val="5D8FFF"/>
            </a:contourClr>
          </a:sp3d>
        </c:spPr>
      </c:pivotFmt>
      <c:pivotFmt>
        <c:idx val="16"/>
        <c:spPr>
          <a:solidFill>
            <a:srgbClr val="1960FF"/>
          </a:solidFill>
          <a:ln w="28575" cap="rnd" cmpd="sng">
            <a:solidFill>
              <a:srgbClr val="1960FF"/>
            </a:solidFill>
            <a:bevel/>
          </a:ln>
          <a:effectLst/>
          <a:sp3d contourW="28575">
            <a:contourClr>
              <a:srgbClr val="1960FF"/>
            </a:contourClr>
          </a:sp3d>
        </c:spPr>
      </c:pivotFmt>
      <c:pivotFmt>
        <c:idx val="17"/>
        <c:spPr>
          <a:solidFill>
            <a:srgbClr val="0036B0"/>
          </a:solidFill>
          <a:ln w="15875" cap="rnd">
            <a:solidFill>
              <a:srgbClr val="0036B0"/>
            </a:solidFill>
            <a:bevel/>
          </a:ln>
          <a:effectLst/>
          <a:sp3d contourW="15875">
            <a:contourClr>
              <a:srgbClr val="0036B0"/>
            </a:contourClr>
          </a:sp3d>
        </c:spPr>
      </c:pivotFmt>
      <c:pivotFmt>
        <c:idx val="1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18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Sheet1!$B$3</c:f>
              <c:strCache>
                <c:ptCount val="1"/>
                <c:pt idx="0">
                  <c:v>Total</c:v>
                </c:pt>
              </c:strCache>
            </c:strRef>
          </c:tx>
          <c:explosion val="6"/>
          <c:dPt>
            <c:idx val="0"/>
            <c:bubble3D val="0"/>
            <c:spPr>
              <a:solidFill>
                <a:srgbClr val="D1E8FF"/>
              </a:solidFill>
              <a:ln w="44450" cap="rnd">
                <a:solidFill>
                  <a:srgbClr val="D1E8FF"/>
                </a:solidFill>
                <a:bevel/>
              </a:ln>
              <a:effectLst/>
              <a:sp3d contourW="44450">
                <a:contourClr>
                  <a:srgbClr val="D1E8FF"/>
                </a:contourClr>
              </a:sp3d>
            </c:spPr>
            <c:extLst>
              <c:ext xmlns:c16="http://schemas.microsoft.com/office/drawing/2014/chart" uri="{C3380CC4-5D6E-409C-BE32-E72D297353CC}">
                <c16:uniqueId val="{00000001-FB25-432E-BC70-FB0422082E5C}"/>
              </c:ext>
            </c:extLst>
          </c:dPt>
          <c:dPt>
            <c:idx val="1"/>
            <c:bubble3D val="0"/>
            <c:spPr>
              <a:solidFill>
                <a:srgbClr val="9FBDFF"/>
              </a:solidFill>
              <a:ln w="31750" cap="rnd">
                <a:solidFill>
                  <a:srgbClr val="9FBDFF"/>
                </a:solidFill>
                <a:bevel/>
              </a:ln>
              <a:effectLst/>
              <a:sp3d contourW="31750">
                <a:contourClr>
                  <a:srgbClr val="9FBDFF"/>
                </a:contourClr>
              </a:sp3d>
            </c:spPr>
            <c:extLst>
              <c:ext xmlns:c16="http://schemas.microsoft.com/office/drawing/2014/chart" uri="{C3380CC4-5D6E-409C-BE32-E72D297353CC}">
                <c16:uniqueId val="{00000003-FB25-432E-BC70-FB0422082E5C}"/>
              </c:ext>
            </c:extLst>
          </c:dPt>
          <c:dPt>
            <c:idx val="2"/>
            <c:bubble3D val="0"/>
            <c:spPr>
              <a:solidFill>
                <a:srgbClr val="5D8FFF"/>
              </a:solidFill>
              <a:ln w="31750" cap="rnd">
                <a:solidFill>
                  <a:srgbClr val="5D8FFF"/>
                </a:solidFill>
                <a:bevel/>
              </a:ln>
              <a:effectLst/>
              <a:sp3d contourW="31750">
                <a:contourClr>
                  <a:srgbClr val="5D8FFF"/>
                </a:contourClr>
              </a:sp3d>
            </c:spPr>
            <c:extLst>
              <c:ext xmlns:c16="http://schemas.microsoft.com/office/drawing/2014/chart" uri="{C3380CC4-5D6E-409C-BE32-E72D297353CC}">
                <c16:uniqueId val="{00000005-FB25-432E-BC70-FB0422082E5C}"/>
              </c:ext>
            </c:extLst>
          </c:dPt>
          <c:dPt>
            <c:idx val="3"/>
            <c:bubble3D val="0"/>
            <c:spPr>
              <a:solidFill>
                <a:srgbClr val="1960FF"/>
              </a:solidFill>
              <a:ln w="28575" cap="rnd" cmpd="sng">
                <a:solidFill>
                  <a:srgbClr val="1960FF"/>
                </a:solidFill>
                <a:bevel/>
              </a:ln>
              <a:effectLst/>
              <a:sp3d contourW="28575">
                <a:contourClr>
                  <a:srgbClr val="1960FF"/>
                </a:contourClr>
              </a:sp3d>
            </c:spPr>
            <c:extLst>
              <c:ext xmlns:c16="http://schemas.microsoft.com/office/drawing/2014/chart" uri="{C3380CC4-5D6E-409C-BE32-E72D297353CC}">
                <c16:uniqueId val="{00000007-FB25-432E-BC70-FB0422082E5C}"/>
              </c:ext>
            </c:extLst>
          </c:dPt>
          <c:dPt>
            <c:idx val="4"/>
            <c:bubble3D val="0"/>
            <c:spPr>
              <a:solidFill>
                <a:srgbClr val="0036B0"/>
              </a:solidFill>
              <a:ln w="15875" cap="rnd">
                <a:solidFill>
                  <a:srgbClr val="0036B0"/>
                </a:solidFill>
                <a:bevel/>
              </a:ln>
              <a:effectLst/>
              <a:sp3d contourW="15875">
                <a:contourClr>
                  <a:srgbClr val="0036B0"/>
                </a:contourClr>
              </a:sp3d>
            </c:spPr>
            <c:extLst>
              <c:ext xmlns:c16="http://schemas.microsoft.com/office/drawing/2014/chart" uri="{C3380CC4-5D6E-409C-BE32-E72D297353CC}">
                <c16:uniqueId val="{00000009-FB25-432E-BC70-FB0422082E5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Sheet1!$A$4:$A$9</c:f>
              <c:strCache>
                <c:ptCount val="5"/>
                <c:pt idx="0">
                  <c:v>Sports</c:v>
                </c:pt>
                <c:pt idx="1">
                  <c:v>Electronics</c:v>
                </c:pt>
                <c:pt idx="2">
                  <c:v>Home Appliances</c:v>
                </c:pt>
                <c:pt idx="3">
                  <c:v>Clothing</c:v>
                </c:pt>
                <c:pt idx="4">
                  <c:v>Beauty</c:v>
                </c:pt>
              </c:strCache>
            </c:strRef>
          </c:cat>
          <c:val>
            <c:numRef>
              <c:f>Sheet1!$B$4:$B$9</c:f>
              <c:numCache>
                <c:formatCode>General</c:formatCode>
                <c:ptCount val="5"/>
                <c:pt idx="0">
                  <c:v>47108</c:v>
                </c:pt>
                <c:pt idx="1">
                  <c:v>38960</c:v>
                </c:pt>
                <c:pt idx="2">
                  <c:v>19170</c:v>
                </c:pt>
                <c:pt idx="3">
                  <c:v>6694</c:v>
                </c:pt>
                <c:pt idx="4">
                  <c:v>3291</c:v>
                </c:pt>
              </c:numCache>
            </c:numRef>
          </c:val>
          <c:extLst>
            <c:ext xmlns:c16="http://schemas.microsoft.com/office/drawing/2014/chart" uri="{C3380CC4-5D6E-409C-BE32-E72D297353CC}">
              <c16:uniqueId val="{0000000A-FB25-432E-BC70-FB0422082E5C}"/>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5253674540682414"/>
          <c:y val="0.33144648585593467"/>
          <c:w val="0.23222750981709797"/>
          <c:h val="0.457894065325167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00B0F0"/>
        </a:gs>
        <a:gs pos="46000">
          <a:schemeClr val="tx2">
            <a:lumMod val="75000"/>
          </a:schemeClr>
        </a:gs>
        <a:gs pos="100000">
          <a:schemeClr val="tx2">
            <a:lumMod val="50000"/>
          </a:schemeClr>
        </a:gs>
      </a:gsLst>
      <a:path path="rect">
        <a:fillToRect l="100000" t="10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[Month1_Week4_Practice(AutoRecovered).xlsx]Pivot tables!PivotTable6</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Revenue</a:t>
            </a:r>
            <a:r>
              <a:rPr lang="en-US" baseline="0">
                <a:solidFill>
                  <a:schemeClr val="bg1"/>
                </a:solidFill>
              </a:rPr>
              <a:t> By Region</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D8FFF"/>
          </a:solidFill>
          <a:ln>
            <a:noFill/>
          </a:ln>
          <a:effectLst/>
        </c:spPr>
      </c:pivotFmt>
      <c:pivotFmt>
        <c:idx val="2"/>
        <c:spPr>
          <a:solidFill>
            <a:srgbClr val="5D8FFF"/>
          </a:solidFill>
          <a:ln>
            <a:noFill/>
          </a:ln>
          <a:effectLst/>
        </c:spPr>
      </c:pivotFmt>
      <c:pivotFmt>
        <c:idx val="3"/>
        <c:spPr>
          <a:solidFill>
            <a:srgbClr val="0150FF"/>
          </a:solidFill>
          <a:ln>
            <a:noFill/>
          </a:ln>
          <a:effectLst/>
        </c:spPr>
      </c:pivotFmt>
      <c:pivotFmt>
        <c:idx val="4"/>
        <c:spPr>
          <a:solidFill>
            <a:srgbClr val="0036B0"/>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36B0"/>
          </a:solidFill>
          <a:ln>
            <a:noFill/>
          </a:ln>
          <a:effectLst/>
        </c:spPr>
      </c:pivotFmt>
      <c:pivotFmt>
        <c:idx val="7"/>
        <c:spPr>
          <a:solidFill>
            <a:srgbClr val="0150FF"/>
          </a:solidFill>
          <a:ln>
            <a:noFill/>
          </a:ln>
          <a:effectLst/>
        </c:spPr>
      </c:pivotFmt>
      <c:pivotFmt>
        <c:idx val="8"/>
        <c:spPr>
          <a:solidFill>
            <a:srgbClr val="5D8FFF"/>
          </a:solidFill>
          <a:ln>
            <a:noFill/>
          </a:ln>
          <a:effectLst/>
        </c:spPr>
      </c:pivotFmt>
      <c:pivotFmt>
        <c:idx val="9"/>
        <c:spPr>
          <a:solidFill>
            <a:srgbClr val="5D8FFF"/>
          </a:solidFill>
          <a:ln>
            <a:noFill/>
          </a:ln>
          <a:effectLst/>
        </c:spPr>
      </c:pivotFmt>
      <c:pivotFmt>
        <c:idx val="10"/>
        <c:spPr>
          <a:solidFill>
            <a:schemeClr val="accent1"/>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036B0"/>
          </a:solidFill>
          <a:ln w="3175">
            <a:solidFill>
              <a:schemeClr val="bg1"/>
            </a:solidFill>
          </a:ln>
          <a:effectLst/>
        </c:spPr>
      </c:pivotFmt>
      <c:pivotFmt>
        <c:idx val="12"/>
        <c:spPr>
          <a:solidFill>
            <a:srgbClr val="0150FF"/>
          </a:solidFill>
          <a:ln w="3175">
            <a:solidFill>
              <a:schemeClr val="bg1"/>
            </a:solidFill>
          </a:ln>
          <a:effectLst/>
        </c:spPr>
      </c:pivotFmt>
      <c:pivotFmt>
        <c:idx val="13"/>
        <c:spPr>
          <a:solidFill>
            <a:srgbClr val="5D8FFF"/>
          </a:solidFill>
          <a:ln w="3175">
            <a:solidFill>
              <a:schemeClr val="bg1"/>
            </a:solidFill>
          </a:ln>
          <a:effectLst/>
        </c:spPr>
      </c:pivotFmt>
      <c:pivotFmt>
        <c:idx val="14"/>
        <c:spPr>
          <a:solidFill>
            <a:srgbClr val="5D8FFF"/>
          </a:solidFill>
          <a:ln w="3175">
            <a:solidFill>
              <a:schemeClr val="bg1"/>
            </a:solidFill>
          </a:ln>
          <a:effectLst/>
        </c:spPr>
      </c:pivotFmt>
    </c:pivotFmts>
    <c:plotArea>
      <c:layout/>
      <c:barChart>
        <c:barDir val="bar"/>
        <c:grouping val="clustered"/>
        <c:varyColors val="0"/>
        <c:ser>
          <c:idx val="0"/>
          <c:order val="0"/>
          <c:tx>
            <c:strRef>
              <c:f>'Pivot tables'!$D$3</c:f>
              <c:strCache>
                <c:ptCount val="1"/>
                <c:pt idx="0">
                  <c:v>Total</c:v>
                </c:pt>
              </c:strCache>
            </c:strRef>
          </c:tx>
          <c:spPr>
            <a:solidFill>
              <a:schemeClr val="accent1"/>
            </a:solidFill>
            <a:ln w="3175">
              <a:solidFill>
                <a:schemeClr val="bg1"/>
              </a:solidFill>
            </a:ln>
            <a:effectLst/>
          </c:spPr>
          <c:invertIfNegative val="0"/>
          <c:dPt>
            <c:idx val="0"/>
            <c:invertIfNegative val="0"/>
            <c:bubble3D val="0"/>
            <c:spPr>
              <a:solidFill>
                <a:srgbClr val="0036B0"/>
              </a:solidFill>
              <a:ln w="3175">
                <a:solidFill>
                  <a:schemeClr val="bg1"/>
                </a:solidFill>
              </a:ln>
              <a:effectLst/>
            </c:spPr>
            <c:extLst>
              <c:ext xmlns:c16="http://schemas.microsoft.com/office/drawing/2014/chart" uri="{C3380CC4-5D6E-409C-BE32-E72D297353CC}">
                <c16:uniqueId val="{00000001-4E02-49E4-B2A9-C9899A752A68}"/>
              </c:ext>
            </c:extLst>
          </c:dPt>
          <c:dPt>
            <c:idx val="1"/>
            <c:invertIfNegative val="0"/>
            <c:bubble3D val="0"/>
            <c:spPr>
              <a:solidFill>
                <a:srgbClr val="0150FF"/>
              </a:solidFill>
              <a:ln w="3175">
                <a:solidFill>
                  <a:schemeClr val="bg1"/>
                </a:solidFill>
              </a:ln>
              <a:effectLst/>
            </c:spPr>
            <c:extLst>
              <c:ext xmlns:c16="http://schemas.microsoft.com/office/drawing/2014/chart" uri="{C3380CC4-5D6E-409C-BE32-E72D297353CC}">
                <c16:uniqueId val="{00000003-4E02-49E4-B2A9-C9899A752A68}"/>
              </c:ext>
            </c:extLst>
          </c:dPt>
          <c:dPt>
            <c:idx val="2"/>
            <c:invertIfNegative val="0"/>
            <c:bubble3D val="0"/>
            <c:spPr>
              <a:solidFill>
                <a:srgbClr val="5D8FFF"/>
              </a:solidFill>
              <a:ln w="3175">
                <a:solidFill>
                  <a:schemeClr val="bg1"/>
                </a:solidFill>
              </a:ln>
              <a:effectLst/>
            </c:spPr>
            <c:extLst>
              <c:ext xmlns:c16="http://schemas.microsoft.com/office/drawing/2014/chart" uri="{C3380CC4-5D6E-409C-BE32-E72D297353CC}">
                <c16:uniqueId val="{00000005-4E02-49E4-B2A9-C9899A752A68}"/>
              </c:ext>
            </c:extLst>
          </c:dPt>
          <c:dPt>
            <c:idx val="3"/>
            <c:invertIfNegative val="0"/>
            <c:bubble3D val="0"/>
            <c:spPr>
              <a:solidFill>
                <a:srgbClr val="5D8FFF"/>
              </a:solidFill>
              <a:ln w="3175">
                <a:solidFill>
                  <a:schemeClr val="bg1"/>
                </a:solidFill>
              </a:ln>
              <a:effectLst/>
            </c:spPr>
            <c:extLst>
              <c:ext xmlns:c16="http://schemas.microsoft.com/office/drawing/2014/chart" uri="{C3380CC4-5D6E-409C-BE32-E72D297353CC}">
                <c16:uniqueId val="{00000007-4E02-49E4-B2A9-C9899A752A68}"/>
              </c:ext>
            </c:extLst>
          </c:dPt>
          <c:cat>
            <c:strRef>
              <c:f>'Pivot tables'!$C$4:$C$8</c:f>
              <c:strCache>
                <c:ptCount val="4"/>
                <c:pt idx="0">
                  <c:v>West</c:v>
                </c:pt>
                <c:pt idx="1">
                  <c:v>South</c:v>
                </c:pt>
                <c:pt idx="2">
                  <c:v>East</c:v>
                </c:pt>
                <c:pt idx="3">
                  <c:v>North</c:v>
                </c:pt>
              </c:strCache>
            </c:strRef>
          </c:cat>
          <c:val>
            <c:numRef>
              <c:f>'Pivot tables'!$D$4:$D$8</c:f>
              <c:numCache>
                <c:formatCode>General</c:formatCode>
                <c:ptCount val="4"/>
                <c:pt idx="0">
                  <c:v>18563</c:v>
                </c:pt>
                <c:pt idx="1">
                  <c:v>18634</c:v>
                </c:pt>
                <c:pt idx="2">
                  <c:v>38591</c:v>
                </c:pt>
                <c:pt idx="3">
                  <c:v>39435</c:v>
                </c:pt>
              </c:numCache>
            </c:numRef>
          </c:val>
          <c:extLst>
            <c:ext xmlns:c16="http://schemas.microsoft.com/office/drawing/2014/chart" uri="{C3380CC4-5D6E-409C-BE32-E72D297353CC}">
              <c16:uniqueId val="{00000008-4E02-49E4-B2A9-C9899A752A68}"/>
            </c:ext>
          </c:extLst>
        </c:ser>
        <c:dLbls>
          <c:showLegendKey val="0"/>
          <c:showVal val="0"/>
          <c:showCatName val="0"/>
          <c:showSerName val="0"/>
          <c:showPercent val="0"/>
          <c:showBubbleSize val="0"/>
        </c:dLbls>
        <c:gapWidth val="182"/>
        <c:axId val="1650449439"/>
        <c:axId val="1621600927"/>
      </c:barChart>
      <c:catAx>
        <c:axId val="1650449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21600927"/>
        <c:crosses val="autoZero"/>
        <c:auto val="1"/>
        <c:lblAlgn val="ctr"/>
        <c:lblOffset val="100"/>
        <c:noMultiLvlLbl val="0"/>
      </c:catAx>
      <c:valAx>
        <c:axId val="16216009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50449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00B0F0"/>
        </a:gs>
        <a:gs pos="46000">
          <a:schemeClr val="tx2">
            <a:lumMod val="75000"/>
          </a:schemeClr>
        </a:gs>
        <a:gs pos="100000">
          <a:schemeClr val="tx2">
            <a:lumMod val="50000"/>
          </a:schemeClr>
        </a:gs>
      </a:gsLst>
      <a:path path="rect">
        <a:fillToRect l="100000" t="10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[Month1_Week4_Practice(AutoRecovered).xlsx]Pivot tables!PivotTable7</c:name>
    <c:fmtId val="1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a:t>
            </a:r>
            <a:r>
              <a:rPr lang="en-US" baseline="0">
                <a:solidFill>
                  <a:schemeClr val="bg1"/>
                </a:solidFill>
              </a:rPr>
              <a:t> 3 Sales Rep By Revenue</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1B4FF"/>
          </a:solidFill>
          <a:ln w="41275" cap="rnd">
            <a:solidFill>
              <a:srgbClr val="61B4FF"/>
            </a:solidFill>
            <a:bevel/>
          </a:ln>
          <a:effectLst/>
          <a:sp3d contourW="41275">
            <a:contourClr>
              <a:srgbClr val="61B4FF"/>
            </a:contourClr>
          </a:sp3d>
        </c:spPr>
      </c:pivotFmt>
      <c:pivotFmt>
        <c:idx val="2"/>
        <c:spPr>
          <a:solidFill>
            <a:srgbClr val="0081F6"/>
          </a:solidFill>
          <a:ln w="41275" cap="rnd">
            <a:solidFill>
              <a:srgbClr val="0081F6"/>
            </a:solidFill>
            <a:bevel/>
          </a:ln>
          <a:effectLst/>
          <a:sp3d contourW="41275">
            <a:contourClr>
              <a:srgbClr val="0081F6"/>
            </a:contourClr>
          </a:sp3d>
        </c:spPr>
      </c:pivotFmt>
      <c:pivotFmt>
        <c:idx val="3"/>
        <c:spPr>
          <a:solidFill>
            <a:srgbClr val="004F96"/>
          </a:solidFill>
          <a:ln w="41275" cap="rnd">
            <a:solidFill>
              <a:srgbClr val="004F96"/>
            </a:solidFill>
            <a:bevel/>
          </a:ln>
          <a:effectLst/>
          <a:sp3d contourW="41275">
            <a:contourClr>
              <a:srgbClr val="004F96"/>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1B4FF"/>
          </a:solidFill>
          <a:ln w="41275" cap="rnd">
            <a:solidFill>
              <a:srgbClr val="61B4FF"/>
            </a:solidFill>
            <a:bevel/>
          </a:ln>
          <a:effectLst/>
          <a:sp3d contourW="41275">
            <a:contourClr>
              <a:srgbClr val="61B4FF"/>
            </a:contourClr>
          </a:sp3d>
        </c:spPr>
      </c:pivotFmt>
      <c:pivotFmt>
        <c:idx val="6"/>
        <c:spPr>
          <a:solidFill>
            <a:srgbClr val="0081F6"/>
          </a:solidFill>
          <a:ln w="41275" cap="rnd">
            <a:solidFill>
              <a:srgbClr val="0081F6"/>
            </a:solidFill>
            <a:bevel/>
          </a:ln>
          <a:effectLst/>
          <a:sp3d contourW="41275">
            <a:contourClr>
              <a:srgbClr val="0081F6"/>
            </a:contourClr>
          </a:sp3d>
        </c:spPr>
      </c:pivotFmt>
      <c:pivotFmt>
        <c:idx val="7"/>
        <c:spPr>
          <a:solidFill>
            <a:srgbClr val="004F96"/>
          </a:solidFill>
          <a:ln w="41275" cap="rnd">
            <a:solidFill>
              <a:srgbClr val="004F96"/>
            </a:solidFill>
            <a:bevel/>
          </a:ln>
          <a:effectLst/>
          <a:sp3d contourW="41275">
            <a:contourClr>
              <a:srgbClr val="004F96"/>
            </a:contourClr>
          </a:sp3d>
        </c:spPr>
      </c:pivotFmt>
      <c:pivotFmt>
        <c:idx val="8"/>
        <c:spPr>
          <a:solidFill>
            <a:schemeClr val="accent1"/>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1B4FF"/>
          </a:solidFill>
          <a:ln w="3175" cap="rnd">
            <a:solidFill>
              <a:schemeClr val="bg1"/>
            </a:solidFill>
            <a:bevel/>
          </a:ln>
          <a:effectLst/>
          <a:sp3d contourW="41275">
            <a:contourClr>
              <a:srgbClr val="61B4FF"/>
            </a:contourClr>
          </a:sp3d>
        </c:spPr>
      </c:pivotFmt>
      <c:pivotFmt>
        <c:idx val="10"/>
        <c:spPr>
          <a:solidFill>
            <a:srgbClr val="0081F6"/>
          </a:solidFill>
          <a:ln w="3175" cap="rnd">
            <a:solidFill>
              <a:schemeClr val="bg1"/>
            </a:solidFill>
            <a:bevel/>
          </a:ln>
          <a:effectLst/>
          <a:sp3d contourW="41275">
            <a:contourClr>
              <a:srgbClr val="0081F6"/>
            </a:contourClr>
          </a:sp3d>
        </c:spPr>
      </c:pivotFmt>
      <c:pivotFmt>
        <c:idx val="11"/>
        <c:spPr>
          <a:solidFill>
            <a:srgbClr val="004F96"/>
          </a:solidFill>
          <a:ln w="3175" cap="rnd">
            <a:solidFill>
              <a:schemeClr val="bg1"/>
            </a:solidFill>
            <a:bevel/>
          </a:ln>
          <a:effectLst/>
          <a:sp3d contourW="41275">
            <a:contourClr>
              <a:srgbClr val="004F96"/>
            </a:contourClr>
          </a:sp3d>
        </c:spPr>
      </c:pivotFmt>
    </c:pivotFmts>
    <c:plotArea>
      <c:layout/>
      <c:barChart>
        <c:barDir val="bar"/>
        <c:grouping val="clustered"/>
        <c:varyColors val="0"/>
        <c:ser>
          <c:idx val="0"/>
          <c:order val="0"/>
          <c:tx>
            <c:strRef>
              <c:f>'Pivot tables'!$F$3</c:f>
              <c:strCache>
                <c:ptCount val="1"/>
                <c:pt idx="0">
                  <c:v>Total</c:v>
                </c:pt>
              </c:strCache>
            </c:strRef>
          </c:tx>
          <c:spPr>
            <a:solidFill>
              <a:schemeClr val="accent1"/>
            </a:solidFill>
            <a:ln w="3175">
              <a:solidFill>
                <a:schemeClr val="bg1"/>
              </a:solidFill>
            </a:ln>
            <a:effectLst/>
          </c:spPr>
          <c:invertIfNegative val="0"/>
          <c:dPt>
            <c:idx val="0"/>
            <c:invertIfNegative val="0"/>
            <c:bubble3D val="0"/>
            <c:spPr>
              <a:solidFill>
                <a:srgbClr val="004F96"/>
              </a:solidFill>
              <a:ln w="3175" cap="rnd">
                <a:solidFill>
                  <a:schemeClr val="bg1"/>
                </a:solidFill>
                <a:bevel/>
              </a:ln>
              <a:effectLst/>
              <a:sp3d contourW="41275">
                <a:contourClr>
                  <a:srgbClr val="004F96"/>
                </a:contourClr>
              </a:sp3d>
            </c:spPr>
            <c:extLst>
              <c:ext xmlns:c16="http://schemas.microsoft.com/office/drawing/2014/chart" uri="{C3380CC4-5D6E-409C-BE32-E72D297353CC}">
                <c16:uniqueId val="{00000001-69E3-4183-9DC2-9CCC6A50BF56}"/>
              </c:ext>
            </c:extLst>
          </c:dPt>
          <c:dPt>
            <c:idx val="1"/>
            <c:invertIfNegative val="0"/>
            <c:bubble3D val="0"/>
            <c:explosion val="5"/>
            <c:spPr>
              <a:solidFill>
                <a:srgbClr val="0081F6"/>
              </a:solidFill>
              <a:ln w="3175" cap="rnd">
                <a:solidFill>
                  <a:schemeClr val="bg1"/>
                </a:solidFill>
                <a:bevel/>
              </a:ln>
              <a:effectLst/>
              <a:sp3d contourW="41275">
                <a:contourClr>
                  <a:srgbClr val="0081F6"/>
                </a:contourClr>
              </a:sp3d>
            </c:spPr>
            <c:extLst>
              <c:ext xmlns:c16="http://schemas.microsoft.com/office/drawing/2014/chart" uri="{C3380CC4-5D6E-409C-BE32-E72D297353CC}">
                <c16:uniqueId val="{00000003-69E3-4183-9DC2-9CCC6A50BF56}"/>
              </c:ext>
            </c:extLst>
          </c:dPt>
          <c:dPt>
            <c:idx val="2"/>
            <c:invertIfNegative val="0"/>
            <c:bubble3D val="0"/>
            <c:spPr>
              <a:solidFill>
                <a:srgbClr val="61B4FF"/>
              </a:solidFill>
              <a:ln w="3175" cap="rnd">
                <a:solidFill>
                  <a:schemeClr val="bg1"/>
                </a:solidFill>
                <a:bevel/>
              </a:ln>
              <a:effectLst/>
              <a:sp3d contourW="41275">
                <a:contourClr>
                  <a:srgbClr val="61B4FF"/>
                </a:contourClr>
              </a:sp3d>
            </c:spPr>
            <c:extLst>
              <c:ext xmlns:c16="http://schemas.microsoft.com/office/drawing/2014/chart" uri="{C3380CC4-5D6E-409C-BE32-E72D297353CC}">
                <c16:uniqueId val="{00000005-69E3-4183-9DC2-9CCC6A50BF5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tables'!$E$4:$E$7</c:f>
              <c:strCache>
                <c:ptCount val="3"/>
                <c:pt idx="0">
                  <c:v>Joshua Jackson</c:v>
                </c:pt>
                <c:pt idx="1">
                  <c:v>David Lee</c:v>
                </c:pt>
                <c:pt idx="2">
                  <c:v>James Wilson</c:v>
                </c:pt>
              </c:strCache>
            </c:strRef>
          </c:cat>
          <c:val>
            <c:numRef>
              <c:f>'Pivot tables'!$F$4:$F$7</c:f>
              <c:numCache>
                <c:formatCode>General</c:formatCode>
                <c:ptCount val="3"/>
                <c:pt idx="0">
                  <c:v>10997</c:v>
                </c:pt>
                <c:pt idx="1">
                  <c:v>20626</c:v>
                </c:pt>
                <c:pt idx="2">
                  <c:v>21504</c:v>
                </c:pt>
              </c:numCache>
            </c:numRef>
          </c:val>
          <c:extLst>
            <c:ext xmlns:c16="http://schemas.microsoft.com/office/drawing/2014/chart" uri="{C3380CC4-5D6E-409C-BE32-E72D297353CC}">
              <c16:uniqueId val="{00000006-69E3-4183-9DC2-9CCC6A50BF56}"/>
            </c:ext>
          </c:extLst>
        </c:ser>
        <c:dLbls>
          <c:showLegendKey val="0"/>
          <c:showVal val="0"/>
          <c:showCatName val="0"/>
          <c:showSerName val="0"/>
          <c:showPercent val="0"/>
          <c:showBubbleSize val="0"/>
        </c:dLbls>
        <c:gapWidth val="188"/>
        <c:axId val="931113391"/>
        <c:axId val="969057951"/>
      </c:barChart>
      <c:valAx>
        <c:axId val="9690579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31113391"/>
        <c:crosses val="autoZero"/>
        <c:crossBetween val="between"/>
      </c:valAx>
      <c:catAx>
        <c:axId val="9311133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6905795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00B0F0"/>
        </a:gs>
        <a:gs pos="46000">
          <a:schemeClr val="tx2">
            <a:lumMod val="75000"/>
          </a:schemeClr>
        </a:gs>
        <a:gs pos="100000">
          <a:schemeClr val="tx2">
            <a:lumMod val="50000"/>
          </a:schemeClr>
        </a:gs>
      </a:gsLst>
      <a:path path="rect">
        <a:fillToRect l="100000" t="10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[Month1_Week4_Practice(AutoRecovered).xlsx]Pivot tables!PivotTable8</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Revenue By </a:t>
            </a:r>
            <a:r>
              <a:rPr lang="en-US" baseline="0">
                <a:solidFill>
                  <a:schemeClr val="bg1"/>
                </a:solidFill>
              </a:rPr>
              <a:t>Month</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508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50800" cap="rnd">
            <a:solidFill>
              <a:srgbClr val="CDE7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2A3DC7B7-7BE5-45EB-AEE2-AAD1D8542466}"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solidFill>
          <a:ln w="50800" cap="rnd">
            <a:solidFill>
              <a:srgbClr val="61B4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3E0C856F-B4A7-474C-AC99-1BDC44F4FB3E}"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solidFill>
          <a:ln w="50800" cap="rnd">
            <a:solidFill>
              <a:srgbClr val="0588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B1E3807A-D67F-4609-883C-E0E5D8DE4489}"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w="50800" cap="rnd">
            <a:solidFill>
              <a:srgbClr val="0588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B0186B7A-E4D9-4CBC-97AC-301EB25AB10D}"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solidFill>
          <a:ln w="50800" cap="rnd">
            <a:solidFill>
              <a:srgbClr val="0081F6"/>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98C45CEB-DBD3-457A-82B3-D10439A3DC43}"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solidFill>
          <a:ln w="63500" cap="rnd">
            <a:solidFill>
              <a:srgbClr val="FF480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3943143F-C1F3-43FF-8166-4EFEC5939C18}"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solidFill>
          <a:ln w="508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63500" cap="rnd">
            <a:solidFill>
              <a:srgbClr val="FF480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3943143F-C1F3-43FF-8166-4EFEC5939C18}"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1"/>
          </a:solidFill>
          <a:ln w="50800" cap="rnd">
            <a:solidFill>
              <a:srgbClr val="CDE7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2A3DC7B7-7BE5-45EB-AEE2-AAD1D8542466}"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solidFill>
          <a:ln w="50800" cap="rnd">
            <a:solidFill>
              <a:srgbClr val="61B4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3E0C856F-B4A7-474C-AC99-1BDC44F4FB3E}"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1"/>
          </a:solidFill>
          <a:ln w="50800" cap="rnd">
            <a:solidFill>
              <a:srgbClr val="0588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B1E3807A-D67F-4609-883C-E0E5D8DE4489}"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1"/>
          </a:solidFill>
          <a:ln w="50800" cap="rnd">
            <a:solidFill>
              <a:srgbClr val="0588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B0186B7A-E4D9-4CBC-97AC-301EB25AB10D}"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chemeClr val="accent1"/>
          </a:solidFill>
          <a:ln w="50800" cap="rnd">
            <a:solidFill>
              <a:srgbClr val="0081F6"/>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98C45CEB-DBD3-457A-82B3-D10439A3DC43}"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ln w="508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ln w="63500" cap="rnd">
            <a:solidFill>
              <a:srgbClr val="FF480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3943143F-C1F3-43FF-8166-4EFEC5939C18}" type="VALUE">
                  <a:rPr lang="en-US" b="1"/>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ln w="50800" cap="rnd">
            <a:solidFill>
              <a:srgbClr val="CDE7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2A3DC7B7-7BE5-45EB-AEE2-AAD1D8542466}" type="VALUE">
                  <a:rPr lang="en-US" b="1"/>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7"/>
        <c:spPr>
          <a:ln w="50800" cap="rnd">
            <a:solidFill>
              <a:srgbClr val="61B4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3E0C856F-B4A7-474C-AC99-1BDC44F4FB3E}" type="VALUE">
                  <a:rPr lang="en-US" b="1"/>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spPr>
          <a:ln w="50800" cap="rnd">
            <a:solidFill>
              <a:srgbClr val="0588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B1E3807A-D67F-4609-883C-E0E5D8DE4489}" type="VALUE">
                  <a:rPr lang="en-US" b="1"/>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9"/>
        <c:spPr>
          <a:ln w="50800" cap="rnd">
            <a:solidFill>
              <a:srgbClr val="0588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B0186B7A-E4D9-4CBC-97AC-301EB25AB10D}" type="VALUE">
                  <a:rPr lang="en-US" b="1"/>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ln w="50800" cap="rnd">
            <a:solidFill>
              <a:srgbClr val="0081F6"/>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98C45CEB-DBD3-457A-82B3-D10439A3DC43}" type="VALUE">
                  <a:rPr lang="en-US" b="1"/>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lineChart>
        <c:grouping val="standard"/>
        <c:varyColors val="1"/>
        <c:ser>
          <c:idx val="0"/>
          <c:order val="0"/>
          <c:tx>
            <c:strRef>
              <c:f>'Pivot tables'!$B$10</c:f>
              <c:strCache>
                <c:ptCount val="1"/>
                <c:pt idx="0">
                  <c:v>Total</c:v>
                </c:pt>
              </c:strCache>
            </c:strRef>
          </c:tx>
          <c:spPr>
            <a:ln w="50800"/>
          </c:spPr>
          <c:marker>
            <c:symbol val="none"/>
          </c:marker>
          <c:dPt>
            <c:idx val="0"/>
            <c:marker>
              <c:symbol val="none"/>
            </c:marker>
            <c:bubble3D val="0"/>
            <c:spPr>
              <a:ln w="63500" cap="rnd">
                <a:solidFill>
                  <a:srgbClr val="FF480F"/>
                </a:solidFill>
                <a:round/>
              </a:ln>
              <a:effectLst/>
            </c:spPr>
            <c:extLst>
              <c:ext xmlns:c16="http://schemas.microsoft.com/office/drawing/2014/chart" uri="{C3380CC4-5D6E-409C-BE32-E72D297353CC}">
                <c16:uniqueId val="{00000001-59EC-4112-AA28-C175383E1D2F}"/>
              </c:ext>
            </c:extLst>
          </c:dPt>
          <c:dPt>
            <c:idx val="1"/>
            <c:marker>
              <c:symbol val="none"/>
            </c:marker>
            <c:bubble3D val="0"/>
            <c:spPr>
              <a:ln w="50800" cap="rnd">
                <a:solidFill>
                  <a:srgbClr val="CDE7FF"/>
                </a:solidFill>
                <a:round/>
              </a:ln>
              <a:effectLst/>
            </c:spPr>
            <c:extLst>
              <c:ext xmlns:c16="http://schemas.microsoft.com/office/drawing/2014/chart" uri="{C3380CC4-5D6E-409C-BE32-E72D297353CC}">
                <c16:uniqueId val="{00000003-59EC-4112-AA28-C175383E1D2F}"/>
              </c:ext>
            </c:extLst>
          </c:dPt>
          <c:dPt>
            <c:idx val="2"/>
            <c:marker>
              <c:symbol val="none"/>
            </c:marker>
            <c:bubble3D val="0"/>
            <c:spPr>
              <a:ln w="50800" cap="rnd">
                <a:solidFill>
                  <a:srgbClr val="61B4FF"/>
                </a:solidFill>
                <a:round/>
              </a:ln>
              <a:effectLst/>
            </c:spPr>
            <c:extLst>
              <c:ext xmlns:c16="http://schemas.microsoft.com/office/drawing/2014/chart" uri="{C3380CC4-5D6E-409C-BE32-E72D297353CC}">
                <c16:uniqueId val="{00000005-59EC-4112-AA28-C175383E1D2F}"/>
              </c:ext>
            </c:extLst>
          </c:dPt>
          <c:dPt>
            <c:idx val="3"/>
            <c:marker>
              <c:symbol val="none"/>
            </c:marker>
            <c:bubble3D val="0"/>
            <c:spPr>
              <a:ln w="50800" cap="rnd">
                <a:solidFill>
                  <a:srgbClr val="0588FF"/>
                </a:solidFill>
                <a:round/>
              </a:ln>
              <a:effectLst/>
            </c:spPr>
            <c:extLst>
              <c:ext xmlns:c16="http://schemas.microsoft.com/office/drawing/2014/chart" uri="{C3380CC4-5D6E-409C-BE32-E72D297353CC}">
                <c16:uniqueId val="{00000007-59EC-4112-AA28-C175383E1D2F}"/>
              </c:ext>
            </c:extLst>
          </c:dPt>
          <c:dPt>
            <c:idx val="4"/>
            <c:marker>
              <c:symbol val="none"/>
            </c:marker>
            <c:bubble3D val="0"/>
            <c:spPr>
              <a:ln w="50800" cap="rnd">
                <a:solidFill>
                  <a:srgbClr val="0588FF"/>
                </a:solidFill>
                <a:round/>
              </a:ln>
              <a:effectLst/>
            </c:spPr>
            <c:extLst>
              <c:ext xmlns:c16="http://schemas.microsoft.com/office/drawing/2014/chart" uri="{C3380CC4-5D6E-409C-BE32-E72D297353CC}">
                <c16:uniqueId val="{00000009-59EC-4112-AA28-C175383E1D2F}"/>
              </c:ext>
            </c:extLst>
          </c:dPt>
          <c:dPt>
            <c:idx val="5"/>
            <c:marker>
              <c:symbol val="none"/>
            </c:marker>
            <c:bubble3D val="0"/>
            <c:spPr>
              <a:ln w="50800" cap="rnd">
                <a:solidFill>
                  <a:srgbClr val="0081F6"/>
                </a:solidFill>
                <a:round/>
              </a:ln>
              <a:effectLst/>
            </c:spPr>
            <c:extLst>
              <c:ext xmlns:c16="http://schemas.microsoft.com/office/drawing/2014/chart" uri="{C3380CC4-5D6E-409C-BE32-E72D297353CC}">
                <c16:uniqueId val="{0000000B-59EC-4112-AA28-C175383E1D2F}"/>
              </c:ext>
            </c:extLst>
          </c:dPt>
          <c:dLbls>
            <c:dLbl>
              <c:idx val="0"/>
              <c:tx>
                <c:rich>
                  <a:bodyPr/>
                  <a:lstStyle/>
                  <a:p>
                    <a:fld id="{3943143F-C1F3-43FF-8166-4EFEC5939C18}" type="VALUE">
                      <a:rPr lang="en-US" b="1"/>
                      <a:pPr/>
                      <a:t>[VALUE]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9EC-4112-AA28-C175383E1D2F}"/>
                </c:ext>
              </c:extLst>
            </c:dLbl>
            <c:dLbl>
              <c:idx val="1"/>
              <c:tx>
                <c:rich>
                  <a:bodyPr/>
                  <a:lstStyle/>
                  <a:p>
                    <a:fld id="{2A3DC7B7-7BE5-45EB-AEE2-AAD1D8542466}" type="VALUE">
                      <a:rPr lang="en-US" b="1"/>
                      <a:pPr/>
                      <a:t>[VALUE]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9EC-4112-AA28-C175383E1D2F}"/>
                </c:ext>
              </c:extLst>
            </c:dLbl>
            <c:dLbl>
              <c:idx val="2"/>
              <c:tx>
                <c:rich>
                  <a:bodyPr/>
                  <a:lstStyle/>
                  <a:p>
                    <a:fld id="{3E0C856F-B4A7-474C-AC99-1BDC44F4FB3E}" type="VALUE">
                      <a:rPr lang="en-US" b="1"/>
                      <a:pPr/>
                      <a:t>[VALUE]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59EC-4112-AA28-C175383E1D2F}"/>
                </c:ext>
              </c:extLst>
            </c:dLbl>
            <c:dLbl>
              <c:idx val="3"/>
              <c:tx>
                <c:rich>
                  <a:bodyPr/>
                  <a:lstStyle/>
                  <a:p>
                    <a:fld id="{B1E3807A-D67F-4609-883C-E0E5D8DE4489}" type="VALUE">
                      <a:rPr lang="en-US" b="1"/>
                      <a:pPr/>
                      <a:t>[VALUE]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59EC-4112-AA28-C175383E1D2F}"/>
                </c:ext>
              </c:extLst>
            </c:dLbl>
            <c:dLbl>
              <c:idx val="4"/>
              <c:tx>
                <c:rich>
                  <a:bodyPr/>
                  <a:lstStyle/>
                  <a:p>
                    <a:fld id="{B0186B7A-E4D9-4CBC-97AC-301EB25AB10D}" type="VALUE">
                      <a:rPr lang="en-US" b="1"/>
                      <a:pPr/>
                      <a:t>[VALUE]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59EC-4112-AA28-C175383E1D2F}"/>
                </c:ext>
              </c:extLst>
            </c:dLbl>
            <c:dLbl>
              <c:idx val="5"/>
              <c:tx>
                <c:rich>
                  <a:bodyPr/>
                  <a:lstStyle/>
                  <a:p>
                    <a:fld id="{98C45CEB-DBD3-457A-82B3-D10439A3DC43}" type="VALUE">
                      <a:rPr lang="en-US" b="1"/>
                      <a:pPr/>
                      <a:t>[VALUE]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59EC-4112-AA28-C175383E1D2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25400" cap="rnd">
                <a:solidFill>
                  <a:srgbClr val="FF480F"/>
                </a:solidFill>
                <a:prstDash val="solid"/>
              </a:ln>
              <a:effectLst/>
            </c:spPr>
            <c:trendlineType val="power"/>
            <c:dispRSqr val="0"/>
            <c:dispEq val="0"/>
          </c:trendline>
          <c:cat>
            <c:strRef>
              <c:f>'Pivot tables'!$A$11:$A$17</c:f>
              <c:strCache>
                <c:ptCount val="6"/>
                <c:pt idx="0">
                  <c:v>January</c:v>
                </c:pt>
                <c:pt idx="1">
                  <c:v>February</c:v>
                </c:pt>
                <c:pt idx="2">
                  <c:v>March</c:v>
                </c:pt>
                <c:pt idx="3">
                  <c:v>April</c:v>
                </c:pt>
                <c:pt idx="4">
                  <c:v>May</c:v>
                </c:pt>
                <c:pt idx="5">
                  <c:v>June</c:v>
                </c:pt>
              </c:strCache>
            </c:strRef>
          </c:cat>
          <c:val>
            <c:numRef>
              <c:f>'Pivot tables'!$B$11:$B$17</c:f>
              <c:numCache>
                <c:formatCode>General</c:formatCode>
                <c:ptCount val="6"/>
                <c:pt idx="0">
                  <c:v>42130</c:v>
                </c:pt>
                <c:pt idx="1">
                  <c:v>21101</c:v>
                </c:pt>
                <c:pt idx="2">
                  <c:v>18666</c:v>
                </c:pt>
                <c:pt idx="3">
                  <c:v>7129</c:v>
                </c:pt>
                <c:pt idx="4">
                  <c:v>17230</c:v>
                </c:pt>
                <c:pt idx="5">
                  <c:v>8967</c:v>
                </c:pt>
              </c:numCache>
            </c:numRef>
          </c:val>
          <c:smooth val="0"/>
          <c:extLst>
            <c:ext xmlns:c16="http://schemas.microsoft.com/office/drawing/2014/chart" uri="{C3380CC4-5D6E-409C-BE32-E72D297353CC}">
              <c16:uniqueId val="{0000000D-59EC-4112-AA28-C175383E1D2F}"/>
            </c:ext>
          </c:extLst>
        </c:ser>
        <c:dLbls>
          <c:dLblPos val="t"/>
          <c:showLegendKey val="0"/>
          <c:showVal val="1"/>
          <c:showCatName val="0"/>
          <c:showSerName val="0"/>
          <c:showPercent val="0"/>
          <c:showBubbleSize val="0"/>
        </c:dLbls>
        <c:smooth val="0"/>
        <c:axId val="1633039119"/>
        <c:axId val="1621592767"/>
      </c:lineChart>
      <c:catAx>
        <c:axId val="1633039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21592767"/>
        <c:crosses val="autoZero"/>
        <c:auto val="1"/>
        <c:lblAlgn val="ctr"/>
        <c:lblOffset val="100"/>
        <c:noMultiLvlLbl val="0"/>
      </c:catAx>
      <c:valAx>
        <c:axId val="1621592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33039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00B0F0"/>
        </a:gs>
        <a:gs pos="46000">
          <a:schemeClr val="tx2">
            <a:lumMod val="75000"/>
          </a:schemeClr>
        </a:gs>
        <a:gs pos="100000">
          <a:schemeClr val="tx2">
            <a:lumMod val="50000"/>
          </a:schemeClr>
        </a:gs>
      </a:gsLst>
      <a:path path="rect">
        <a:fillToRect l="100000" t="10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[Month1_Week4_Practice(AutoRecovered).xlsx]Pivot tables!PivotTable9</c:name>
    <c:fmtId val="3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Category 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002060"/>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70C0"/>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1B4FF"/>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588FF"/>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DE7FF"/>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DE7FF"/>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1B4FF"/>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588FF"/>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70C0"/>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2060"/>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CDE7FF"/>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61B4FF"/>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0588FF"/>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0070C0"/>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002060"/>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tables'!$D$10:$D$11</c:f>
              <c:strCache>
                <c:ptCount val="1"/>
                <c:pt idx="0">
                  <c:v>Sports</c:v>
                </c:pt>
              </c:strCache>
            </c:strRef>
          </c:tx>
          <c:spPr>
            <a:solidFill>
              <a:srgbClr val="CDE7FF"/>
            </a:solidFill>
            <a:ln w="3175">
              <a:solidFill>
                <a:schemeClr val="bg1"/>
              </a:solidFill>
            </a:ln>
            <a:effectLst/>
          </c:spPr>
          <c:invertIfNegative val="0"/>
          <c:cat>
            <c:strRef>
              <c:f>'Pivot tables'!$C$12:$C$16</c:f>
              <c:strCache>
                <c:ptCount val="4"/>
                <c:pt idx="0">
                  <c:v>North</c:v>
                </c:pt>
                <c:pt idx="1">
                  <c:v>East</c:v>
                </c:pt>
                <c:pt idx="2">
                  <c:v>South</c:v>
                </c:pt>
                <c:pt idx="3">
                  <c:v>West</c:v>
                </c:pt>
              </c:strCache>
            </c:strRef>
          </c:cat>
          <c:val>
            <c:numRef>
              <c:f>'Pivot tables'!$D$12:$D$16</c:f>
              <c:numCache>
                <c:formatCode>General</c:formatCode>
                <c:ptCount val="4"/>
                <c:pt idx="0">
                  <c:v>18294</c:v>
                </c:pt>
                <c:pt idx="1">
                  <c:v>18654</c:v>
                </c:pt>
                <c:pt idx="2">
                  <c:v>4980</c:v>
                </c:pt>
                <c:pt idx="3">
                  <c:v>5180</c:v>
                </c:pt>
              </c:numCache>
            </c:numRef>
          </c:val>
          <c:extLst>
            <c:ext xmlns:c16="http://schemas.microsoft.com/office/drawing/2014/chart" uri="{C3380CC4-5D6E-409C-BE32-E72D297353CC}">
              <c16:uniqueId val="{00000000-AE95-4A9D-AE7D-912237DDA6C1}"/>
            </c:ext>
          </c:extLst>
        </c:ser>
        <c:ser>
          <c:idx val="1"/>
          <c:order val="1"/>
          <c:tx>
            <c:strRef>
              <c:f>'Pivot tables'!$E$10:$E$11</c:f>
              <c:strCache>
                <c:ptCount val="1"/>
                <c:pt idx="0">
                  <c:v>Electronics</c:v>
                </c:pt>
              </c:strCache>
            </c:strRef>
          </c:tx>
          <c:spPr>
            <a:solidFill>
              <a:srgbClr val="61B4FF"/>
            </a:solidFill>
            <a:ln w="3175">
              <a:solidFill>
                <a:schemeClr val="bg1"/>
              </a:solidFill>
            </a:ln>
            <a:effectLst/>
          </c:spPr>
          <c:invertIfNegative val="0"/>
          <c:cat>
            <c:strRef>
              <c:f>'Pivot tables'!$C$12:$C$16</c:f>
              <c:strCache>
                <c:ptCount val="4"/>
                <c:pt idx="0">
                  <c:v>North</c:v>
                </c:pt>
                <c:pt idx="1">
                  <c:v>East</c:v>
                </c:pt>
                <c:pt idx="2">
                  <c:v>South</c:v>
                </c:pt>
                <c:pt idx="3">
                  <c:v>West</c:v>
                </c:pt>
              </c:strCache>
            </c:strRef>
          </c:cat>
          <c:val>
            <c:numRef>
              <c:f>'Pivot tables'!$E$12:$E$16</c:f>
              <c:numCache>
                <c:formatCode>General</c:formatCode>
                <c:ptCount val="4"/>
                <c:pt idx="0">
                  <c:v>11490</c:v>
                </c:pt>
                <c:pt idx="1">
                  <c:v>11290</c:v>
                </c:pt>
                <c:pt idx="2">
                  <c:v>8140</c:v>
                </c:pt>
                <c:pt idx="3">
                  <c:v>8040</c:v>
                </c:pt>
              </c:numCache>
            </c:numRef>
          </c:val>
          <c:extLst>
            <c:ext xmlns:c16="http://schemas.microsoft.com/office/drawing/2014/chart" uri="{C3380CC4-5D6E-409C-BE32-E72D297353CC}">
              <c16:uniqueId val="{00000000-66CA-47C2-ABC0-AAEFC25C765F}"/>
            </c:ext>
          </c:extLst>
        </c:ser>
        <c:ser>
          <c:idx val="2"/>
          <c:order val="2"/>
          <c:tx>
            <c:strRef>
              <c:f>'Pivot tables'!$F$10:$F$11</c:f>
              <c:strCache>
                <c:ptCount val="1"/>
                <c:pt idx="0">
                  <c:v>Home Appliances</c:v>
                </c:pt>
              </c:strCache>
            </c:strRef>
          </c:tx>
          <c:spPr>
            <a:solidFill>
              <a:srgbClr val="0588FF"/>
            </a:solidFill>
            <a:ln w="3175">
              <a:solidFill>
                <a:schemeClr val="bg1"/>
              </a:solidFill>
            </a:ln>
            <a:effectLst/>
          </c:spPr>
          <c:invertIfNegative val="0"/>
          <c:cat>
            <c:strRef>
              <c:f>'Pivot tables'!$C$12:$C$16</c:f>
              <c:strCache>
                <c:ptCount val="4"/>
                <c:pt idx="0">
                  <c:v>North</c:v>
                </c:pt>
                <c:pt idx="1">
                  <c:v>East</c:v>
                </c:pt>
                <c:pt idx="2">
                  <c:v>South</c:v>
                </c:pt>
                <c:pt idx="3">
                  <c:v>West</c:v>
                </c:pt>
              </c:strCache>
            </c:strRef>
          </c:cat>
          <c:val>
            <c:numRef>
              <c:f>'Pivot tables'!$F$12:$F$16</c:f>
              <c:numCache>
                <c:formatCode>General</c:formatCode>
                <c:ptCount val="4"/>
                <c:pt idx="0">
                  <c:v>6240</c:v>
                </c:pt>
                <c:pt idx="1">
                  <c:v>5400</c:v>
                </c:pt>
                <c:pt idx="2">
                  <c:v>3840</c:v>
                </c:pt>
                <c:pt idx="3">
                  <c:v>3690</c:v>
                </c:pt>
              </c:numCache>
            </c:numRef>
          </c:val>
          <c:extLst>
            <c:ext xmlns:c16="http://schemas.microsoft.com/office/drawing/2014/chart" uri="{C3380CC4-5D6E-409C-BE32-E72D297353CC}">
              <c16:uniqueId val="{00000001-66CA-47C2-ABC0-AAEFC25C765F}"/>
            </c:ext>
          </c:extLst>
        </c:ser>
        <c:ser>
          <c:idx val="3"/>
          <c:order val="3"/>
          <c:tx>
            <c:strRef>
              <c:f>'Pivot tables'!$G$10:$G$11</c:f>
              <c:strCache>
                <c:ptCount val="1"/>
                <c:pt idx="0">
                  <c:v>Clothing</c:v>
                </c:pt>
              </c:strCache>
            </c:strRef>
          </c:tx>
          <c:spPr>
            <a:solidFill>
              <a:srgbClr val="0070C0"/>
            </a:solidFill>
            <a:ln w="3175">
              <a:solidFill>
                <a:schemeClr val="bg1"/>
              </a:solidFill>
            </a:ln>
            <a:effectLst/>
          </c:spPr>
          <c:invertIfNegative val="0"/>
          <c:cat>
            <c:strRef>
              <c:f>'Pivot tables'!$C$12:$C$16</c:f>
              <c:strCache>
                <c:ptCount val="4"/>
                <c:pt idx="0">
                  <c:v>North</c:v>
                </c:pt>
                <c:pt idx="1">
                  <c:v>East</c:v>
                </c:pt>
                <c:pt idx="2">
                  <c:v>South</c:v>
                </c:pt>
                <c:pt idx="3">
                  <c:v>West</c:v>
                </c:pt>
              </c:strCache>
            </c:strRef>
          </c:cat>
          <c:val>
            <c:numRef>
              <c:f>'Pivot tables'!$G$12:$G$16</c:f>
              <c:numCache>
                <c:formatCode>General</c:formatCode>
                <c:ptCount val="4"/>
                <c:pt idx="0">
                  <c:v>2634</c:v>
                </c:pt>
                <c:pt idx="1">
                  <c:v>2452</c:v>
                </c:pt>
                <c:pt idx="2">
                  <c:v>796</c:v>
                </c:pt>
                <c:pt idx="3">
                  <c:v>812</c:v>
                </c:pt>
              </c:numCache>
            </c:numRef>
          </c:val>
          <c:extLst>
            <c:ext xmlns:c16="http://schemas.microsoft.com/office/drawing/2014/chart" uri="{C3380CC4-5D6E-409C-BE32-E72D297353CC}">
              <c16:uniqueId val="{00000002-66CA-47C2-ABC0-AAEFC25C765F}"/>
            </c:ext>
          </c:extLst>
        </c:ser>
        <c:ser>
          <c:idx val="4"/>
          <c:order val="4"/>
          <c:tx>
            <c:strRef>
              <c:f>'Pivot tables'!$H$10:$H$11</c:f>
              <c:strCache>
                <c:ptCount val="1"/>
                <c:pt idx="0">
                  <c:v>Beauty</c:v>
                </c:pt>
              </c:strCache>
            </c:strRef>
          </c:tx>
          <c:spPr>
            <a:solidFill>
              <a:srgbClr val="002060"/>
            </a:solidFill>
            <a:ln w="3175">
              <a:solidFill>
                <a:schemeClr val="bg1"/>
              </a:solidFill>
            </a:ln>
            <a:effectLst/>
          </c:spPr>
          <c:invertIfNegative val="0"/>
          <c:cat>
            <c:strRef>
              <c:f>'Pivot tables'!$C$12:$C$16</c:f>
              <c:strCache>
                <c:ptCount val="4"/>
                <c:pt idx="0">
                  <c:v>North</c:v>
                </c:pt>
                <c:pt idx="1">
                  <c:v>East</c:v>
                </c:pt>
                <c:pt idx="2">
                  <c:v>South</c:v>
                </c:pt>
                <c:pt idx="3">
                  <c:v>West</c:v>
                </c:pt>
              </c:strCache>
            </c:strRef>
          </c:cat>
          <c:val>
            <c:numRef>
              <c:f>'Pivot tables'!$H$12:$H$16</c:f>
              <c:numCache>
                <c:formatCode>General</c:formatCode>
                <c:ptCount val="4"/>
                <c:pt idx="0">
                  <c:v>777</c:v>
                </c:pt>
                <c:pt idx="1">
                  <c:v>795</c:v>
                </c:pt>
                <c:pt idx="2">
                  <c:v>878</c:v>
                </c:pt>
                <c:pt idx="3">
                  <c:v>841</c:v>
                </c:pt>
              </c:numCache>
            </c:numRef>
          </c:val>
          <c:extLst>
            <c:ext xmlns:c16="http://schemas.microsoft.com/office/drawing/2014/chart" uri="{C3380CC4-5D6E-409C-BE32-E72D297353CC}">
              <c16:uniqueId val="{00000003-66CA-47C2-ABC0-AAEFC25C765F}"/>
            </c:ext>
          </c:extLst>
        </c:ser>
        <c:dLbls>
          <c:showLegendKey val="0"/>
          <c:showVal val="0"/>
          <c:showCatName val="0"/>
          <c:showSerName val="0"/>
          <c:showPercent val="0"/>
          <c:showBubbleSize val="0"/>
        </c:dLbls>
        <c:gapWidth val="219"/>
        <c:overlap val="-27"/>
        <c:axId val="1702405103"/>
        <c:axId val="1621589887"/>
      </c:barChart>
      <c:catAx>
        <c:axId val="170240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21589887"/>
        <c:crosses val="autoZero"/>
        <c:auto val="1"/>
        <c:lblAlgn val="ctr"/>
        <c:lblOffset val="100"/>
        <c:noMultiLvlLbl val="0"/>
      </c:catAx>
      <c:valAx>
        <c:axId val="1621589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02405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00B0F0"/>
        </a:gs>
        <a:gs pos="46000">
          <a:schemeClr val="tx2">
            <a:lumMod val="75000"/>
          </a:schemeClr>
        </a:gs>
        <a:gs pos="100000">
          <a:schemeClr val="tx2">
            <a:lumMod val="50000"/>
          </a:schemeClr>
        </a:gs>
      </a:gsLst>
      <a:path path="rect">
        <a:fillToRect l="100000" t="10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[Month1_Week4_Practice(AutoRecovered).xlsx]Pivot tables!PivotTable10</c:name>
    <c:fmtId val="2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Customer</a:t>
            </a:r>
            <a:r>
              <a:rPr lang="en-US" baseline="0">
                <a:solidFill>
                  <a:schemeClr val="bg1"/>
                </a:solidFill>
              </a:rPr>
              <a:t> Segment Revenue By Month</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38100" cap="rnd">
            <a:solidFill>
              <a:srgbClr val="0070C0"/>
            </a:solidFill>
            <a:round/>
          </a:ln>
          <a:effectLst/>
        </c:spPr>
        <c:marker>
          <c:symbol val="square"/>
          <c:size val="6"/>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rnd">
            <a:solidFill>
              <a:srgbClr val="5DB2FF"/>
            </a:solidFill>
            <a:round/>
          </a:ln>
          <a:effectLst/>
        </c:spPr>
        <c:marker>
          <c:symbol val="square"/>
          <c:size val="6"/>
          <c:spPr>
            <a:solidFill>
              <a:schemeClr val="bg1">
                <a:lumMod val="75000"/>
              </a:schemeClr>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8100" cap="rnd">
            <a:solidFill>
              <a:srgbClr val="E5F3FF"/>
            </a:solidFill>
            <a:round/>
          </a:ln>
          <a:effectLst/>
        </c:spPr>
        <c:marker>
          <c:symbol val="square"/>
          <c:size val="6"/>
          <c:spPr>
            <a:solidFill>
              <a:srgbClr val="002060"/>
            </a:solidFill>
            <a:ln w="9525">
              <a:solidFill>
                <a:srgbClr val="E5F3F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38100" cap="rnd">
            <a:solidFill>
              <a:srgbClr val="0070C0"/>
            </a:solidFill>
            <a:round/>
          </a:ln>
          <a:effectLst/>
        </c:spPr>
        <c:marker>
          <c:symbol val="square"/>
          <c:size val="6"/>
          <c:spPr>
            <a:solidFill>
              <a:schemeClr val="bg1"/>
            </a:solidFill>
            <a:ln w="9525">
              <a:solidFill>
                <a:schemeClr val="accent1"/>
              </a:solidFill>
            </a:ln>
            <a:effectLst/>
          </c:spPr>
        </c:marker>
      </c:pivotFmt>
      <c:pivotFmt>
        <c:idx val="4"/>
        <c:spPr>
          <a:solidFill>
            <a:schemeClr val="accent1"/>
          </a:solidFill>
          <a:ln w="38100" cap="rnd">
            <a:solidFill>
              <a:srgbClr val="0070C0"/>
            </a:solidFill>
            <a:round/>
          </a:ln>
          <a:effectLst/>
        </c:spPr>
        <c:marker>
          <c:symbol val="square"/>
          <c:size val="6"/>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38100" cap="rnd">
            <a:solidFill>
              <a:srgbClr val="5DB2FF"/>
            </a:solidFill>
            <a:round/>
          </a:ln>
          <a:effectLst/>
        </c:spPr>
        <c:marker>
          <c:symbol val="square"/>
          <c:size val="6"/>
          <c:spPr>
            <a:solidFill>
              <a:schemeClr val="bg1">
                <a:lumMod val="75000"/>
              </a:schemeClr>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38100" cap="rnd">
            <a:solidFill>
              <a:srgbClr val="E5F3FF"/>
            </a:solidFill>
            <a:round/>
          </a:ln>
          <a:effectLst/>
        </c:spPr>
        <c:marker>
          <c:symbol val="square"/>
          <c:size val="6"/>
          <c:spPr>
            <a:solidFill>
              <a:srgbClr val="002060"/>
            </a:solidFill>
            <a:ln w="9525">
              <a:solidFill>
                <a:srgbClr val="E5F3F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8100"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38100" cap="rnd">
            <a:solidFill>
              <a:srgbClr val="5DB2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38100" cap="rnd">
            <a:solidFill>
              <a:srgbClr val="E5F3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tables'!$B$19:$B$20</c:f>
              <c:strCache>
                <c:ptCount val="1"/>
                <c:pt idx="0">
                  <c:v>Premium</c:v>
                </c:pt>
              </c:strCache>
            </c:strRef>
          </c:tx>
          <c:spPr>
            <a:ln w="38100" cap="rnd">
              <a:solidFill>
                <a:srgbClr val="5DB2FF"/>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tables'!$A$21:$A$27</c:f>
              <c:strCache>
                <c:ptCount val="6"/>
                <c:pt idx="0">
                  <c:v>January</c:v>
                </c:pt>
                <c:pt idx="1">
                  <c:v>February</c:v>
                </c:pt>
                <c:pt idx="2">
                  <c:v>March</c:v>
                </c:pt>
                <c:pt idx="3">
                  <c:v>April</c:v>
                </c:pt>
                <c:pt idx="4">
                  <c:v>May</c:v>
                </c:pt>
                <c:pt idx="5">
                  <c:v>June</c:v>
                </c:pt>
              </c:strCache>
            </c:strRef>
          </c:cat>
          <c:val>
            <c:numRef>
              <c:f>'Pivot tables'!$B$21:$B$27</c:f>
              <c:numCache>
                <c:formatCode>General</c:formatCode>
                <c:ptCount val="6"/>
                <c:pt idx="0">
                  <c:v>42130</c:v>
                </c:pt>
                <c:pt idx="1">
                  <c:v>0</c:v>
                </c:pt>
                <c:pt idx="2">
                  <c:v>0</c:v>
                </c:pt>
                <c:pt idx="3">
                  <c:v>7129</c:v>
                </c:pt>
                <c:pt idx="4">
                  <c:v>0</c:v>
                </c:pt>
                <c:pt idx="5">
                  <c:v>0</c:v>
                </c:pt>
              </c:numCache>
            </c:numRef>
          </c:val>
          <c:smooth val="0"/>
          <c:extLst>
            <c:ext xmlns:c16="http://schemas.microsoft.com/office/drawing/2014/chart" uri="{C3380CC4-5D6E-409C-BE32-E72D297353CC}">
              <c16:uniqueId val="{00000000-10D9-4761-B7A2-CBE14C5DE118}"/>
            </c:ext>
          </c:extLst>
        </c:ser>
        <c:ser>
          <c:idx val="1"/>
          <c:order val="1"/>
          <c:tx>
            <c:strRef>
              <c:f>'Pivot tables'!$C$19:$C$20</c:f>
              <c:strCache>
                <c:ptCount val="1"/>
                <c:pt idx="0">
                  <c:v>Standard</c:v>
                </c:pt>
              </c:strCache>
            </c:strRef>
          </c:tx>
          <c:spPr>
            <a:ln w="38100" cap="rnd">
              <a:solidFill>
                <a:srgbClr val="E5F3FF"/>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tables'!$A$21:$A$27</c:f>
              <c:strCache>
                <c:ptCount val="6"/>
                <c:pt idx="0">
                  <c:v>January</c:v>
                </c:pt>
                <c:pt idx="1">
                  <c:v>February</c:v>
                </c:pt>
                <c:pt idx="2">
                  <c:v>March</c:v>
                </c:pt>
                <c:pt idx="3">
                  <c:v>April</c:v>
                </c:pt>
                <c:pt idx="4">
                  <c:v>May</c:v>
                </c:pt>
                <c:pt idx="5">
                  <c:v>June</c:v>
                </c:pt>
              </c:strCache>
            </c:strRef>
          </c:cat>
          <c:val>
            <c:numRef>
              <c:f>'Pivot tables'!$C$21:$C$27</c:f>
              <c:numCache>
                <c:formatCode>General</c:formatCode>
                <c:ptCount val="6"/>
                <c:pt idx="0">
                  <c:v>0</c:v>
                </c:pt>
                <c:pt idx="1">
                  <c:v>21101</c:v>
                </c:pt>
                <c:pt idx="2">
                  <c:v>0</c:v>
                </c:pt>
                <c:pt idx="3">
                  <c:v>0</c:v>
                </c:pt>
                <c:pt idx="4">
                  <c:v>17230</c:v>
                </c:pt>
                <c:pt idx="5">
                  <c:v>0</c:v>
                </c:pt>
              </c:numCache>
            </c:numRef>
          </c:val>
          <c:smooth val="0"/>
          <c:extLst>
            <c:ext xmlns:c16="http://schemas.microsoft.com/office/drawing/2014/chart" uri="{C3380CC4-5D6E-409C-BE32-E72D297353CC}">
              <c16:uniqueId val="{00000003-E54C-40F8-97FA-4159A7E6EDEA}"/>
            </c:ext>
          </c:extLst>
        </c:ser>
        <c:ser>
          <c:idx val="2"/>
          <c:order val="2"/>
          <c:tx>
            <c:strRef>
              <c:f>'Pivot tables'!$D$19:$D$20</c:f>
              <c:strCache>
                <c:ptCount val="1"/>
                <c:pt idx="0">
                  <c:v>Budget</c:v>
                </c:pt>
              </c:strCache>
            </c:strRef>
          </c:tx>
          <c:spPr>
            <a:ln w="38100" cap="rnd">
              <a:solidFill>
                <a:srgbClr val="0070C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tables'!$A$21:$A$27</c:f>
              <c:strCache>
                <c:ptCount val="6"/>
                <c:pt idx="0">
                  <c:v>January</c:v>
                </c:pt>
                <c:pt idx="1">
                  <c:v>February</c:v>
                </c:pt>
                <c:pt idx="2">
                  <c:v>March</c:v>
                </c:pt>
                <c:pt idx="3">
                  <c:v>April</c:v>
                </c:pt>
                <c:pt idx="4">
                  <c:v>May</c:v>
                </c:pt>
                <c:pt idx="5">
                  <c:v>June</c:v>
                </c:pt>
              </c:strCache>
            </c:strRef>
          </c:cat>
          <c:val>
            <c:numRef>
              <c:f>'Pivot tables'!$D$21:$D$27</c:f>
              <c:numCache>
                <c:formatCode>General</c:formatCode>
                <c:ptCount val="6"/>
                <c:pt idx="0">
                  <c:v>0</c:v>
                </c:pt>
                <c:pt idx="1">
                  <c:v>0</c:v>
                </c:pt>
                <c:pt idx="2">
                  <c:v>18666</c:v>
                </c:pt>
                <c:pt idx="3">
                  <c:v>0</c:v>
                </c:pt>
                <c:pt idx="4">
                  <c:v>0</c:v>
                </c:pt>
                <c:pt idx="5">
                  <c:v>8967</c:v>
                </c:pt>
              </c:numCache>
            </c:numRef>
          </c:val>
          <c:smooth val="0"/>
          <c:extLst>
            <c:ext xmlns:c16="http://schemas.microsoft.com/office/drawing/2014/chart" uri="{C3380CC4-5D6E-409C-BE32-E72D297353CC}">
              <c16:uniqueId val="{00000004-E54C-40F8-97FA-4159A7E6EDEA}"/>
            </c:ext>
          </c:extLst>
        </c:ser>
        <c:dLbls>
          <c:dLblPos val="t"/>
          <c:showLegendKey val="0"/>
          <c:showVal val="1"/>
          <c:showCatName val="0"/>
          <c:showSerName val="0"/>
          <c:showPercent val="0"/>
          <c:showBubbleSize val="0"/>
        </c:dLbls>
        <c:smooth val="0"/>
        <c:axId val="75512288"/>
        <c:axId val="1621611967"/>
      </c:lineChart>
      <c:catAx>
        <c:axId val="75512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21611967"/>
        <c:crosses val="autoZero"/>
        <c:auto val="1"/>
        <c:lblAlgn val="ctr"/>
        <c:lblOffset val="100"/>
        <c:noMultiLvlLbl val="0"/>
      </c:catAx>
      <c:valAx>
        <c:axId val="1621611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5512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a:gsLst>
        <a:gs pos="0">
          <a:srgbClr val="00B0F0"/>
        </a:gs>
        <a:gs pos="46000">
          <a:srgbClr val="17375E"/>
        </a:gs>
        <a:gs pos="100000">
          <a:schemeClr val="tx2">
            <a:lumMod val="50000"/>
          </a:schemeClr>
        </a:gs>
      </a:gsLst>
      <a:path path="rect">
        <a:fillToRect l="100000" t="10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[Month1_Week4_Practice(AutoRecovered).xlsx]Pivot tables!PivotTable11</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Average</a:t>
            </a:r>
            <a:r>
              <a:rPr lang="en-US" baseline="0">
                <a:solidFill>
                  <a:schemeClr val="bg1"/>
                </a:solidFill>
              </a:rPr>
              <a:t> Revenue By Region</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5C8FF"/>
          </a:solidFill>
          <a:ln w="25400">
            <a:solidFill>
              <a:srgbClr val="85C8FF"/>
            </a:solidFill>
          </a:ln>
          <a:effectLst/>
          <a:sp3d contourW="25400">
            <a:contourClr>
              <a:srgbClr val="85C8FF"/>
            </a:contourClr>
          </a:sp3d>
        </c:spPr>
      </c:pivotFmt>
      <c:pivotFmt>
        <c:idx val="2"/>
        <c:spPr>
          <a:solidFill>
            <a:srgbClr val="37A0FF"/>
          </a:solidFill>
          <a:ln w="25400">
            <a:solidFill>
              <a:srgbClr val="37A0FF"/>
            </a:solidFill>
          </a:ln>
          <a:effectLst/>
          <a:sp3d contourW="25400">
            <a:contourClr>
              <a:srgbClr val="37A0FF"/>
            </a:contourClr>
          </a:sp3d>
        </c:spPr>
      </c:pivotFmt>
      <c:pivotFmt>
        <c:idx val="3"/>
        <c:spPr>
          <a:solidFill>
            <a:srgbClr val="0078DE"/>
          </a:solidFill>
          <a:ln w="25400">
            <a:solidFill>
              <a:srgbClr val="0078DE"/>
            </a:solidFill>
          </a:ln>
          <a:effectLst/>
          <a:sp3d contourW="25400">
            <a:contourClr>
              <a:srgbClr val="0078DE"/>
            </a:contourClr>
          </a:sp3d>
        </c:spPr>
      </c:pivotFmt>
      <c:pivotFmt>
        <c:idx val="4"/>
        <c:spPr>
          <a:solidFill>
            <a:srgbClr val="005092"/>
          </a:solidFill>
          <a:ln w="25400">
            <a:solidFill>
              <a:srgbClr val="005092"/>
            </a:solidFill>
          </a:ln>
          <a:effectLst/>
          <a:sp3d contourW="25400">
            <a:contourClr>
              <a:srgbClr val="005092"/>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7A0FF"/>
          </a:solidFill>
          <a:ln w="25400">
            <a:solidFill>
              <a:srgbClr val="37A0FF"/>
            </a:solidFill>
          </a:ln>
          <a:effectLst/>
          <a:sp3d contourW="25400">
            <a:contourClr>
              <a:srgbClr val="37A0FF"/>
            </a:contourClr>
          </a:sp3d>
        </c:spPr>
      </c:pivotFmt>
      <c:pivotFmt>
        <c:idx val="7"/>
        <c:spPr>
          <a:solidFill>
            <a:srgbClr val="85C8FF"/>
          </a:solidFill>
          <a:ln w="25400">
            <a:solidFill>
              <a:srgbClr val="85C8FF"/>
            </a:solidFill>
          </a:ln>
          <a:effectLst/>
          <a:sp3d contourW="25400">
            <a:contourClr>
              <a:srgbClr val="85C8FF"/>
            </a:contourClr>
          </a:sp3d>
        </c:spPr>
      </c:pivotFmt>
      <c:pivotFmt>
        <c:idx val="8"/>
        <c:spPr>
          <a:solidFill>
            <a:srgbClr val="0078DE"/>
          </a:solidFill>
          <a:ln w="25400">
            <a:solidFill>
              <a:srgbClr val="0078DE"/>
            </a:solidFill>
          </a:ln>
          <a:effectLst/>
          <a:sp3d contourW="25400">
            <a:contourClr>
              <a:srgbClr val="0078DE"/>
            </a:contourClr>
          </a:sp3d>
        </c:spPr>
      </c:pivotFmt>
      <c:pivotFmt>
        <c:idx val="9"/>
        <c:spPr>
          <a:solidFill>
            <a:srgbClr val="005092"/>
          </a:solidFill>
          <a:ln w="25400">
            <a:solidFill>
              <a:srgbClr val="005092"/>
            </a:solidFill>
          </a:ln>
          <a:effectLst/>
          <a:sp3d contourW="25400">
            <a:contourClr>
              <a:srgbClr val="005092"/>
            </a:contourClr>
          </a:sp3d>
        </c:spPr>
      </c:pivotFmt>
      <c:pivotFmt>
        <c:idx val="10"/>
        <c:spPr>
          <a:solidFill>
            <a:schemeClr val="accent1"/>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37A0FF"/>
          </a:solidFill>
          <a:ln w="3175">
            <a:solidFill>
              <a:schemeClr val="bg1"/>
            </a:solidFill>
          </a:ln>
          <a:effectLst/>
          <a:sp3d contourW="25400">
            <a:contourClr>
              <a:srgbClr val="37A0FF"/>
            </a:contourClr>
          </a:sp3d>
        </c:spPr>
      </c:pivotFmt>
      <c:pivotFmt>
        <c:idx val="12"/>
        <c:spPr>
          <a:solidFill>
            <a:srgbClr val="85C8FF"/>
          </a:solidFill>
          <a:ln w="3175">
            <a:solidFill>
              <a:schemeClr val="bg1"/>
            </a:solidFill>
          </a:ln>
          <a:effectLst/>
          <a:sp3d contourW="25400">
            <a:contourClr>
              <a:srgbClr val="85C8FF"/>
            </a:contourClr>
          </a:sp3d>
        </c:spPr>
      </c:pivotFmt>
      <c:pivotFmt>
        <c:idx val="13"/>
        <c:spPr>
          <a:solidFill>
            <a:srgbClr val="0078DE"/>
          </a:solidFill>
          <a:ln w="3175">
            <a:solidFill>
              <a:schemeClr val="bg1"/>
            </a:solidFill>
          </a:ln>
          <a:effectLst/>
          <a:sp3d contourW="25400">
            <a:contourClr>
              <a:srgbClr val="0078DE"/>
            </a:contourClr>
          </a:sp3d>
        </c:spPr>
      </c:pivotFmt>
      <c:pivotFmt>
        <c:idx val="14"/>
        <c:spPr>
          <a:solidFill>
            <a:srgbClr val="005092"/>
          </a:solidFill>
          <a:ln w="3175">
            <a:solidFill>
              <a:schemeClr val="bg1"/>
            </a:solidFill>
          </a:ln>
          <a:effectLst/>
          <a:sp3d contourW="25400">
            <a:contourClr>
              <a:srgbClr val="005092"/>
            </a:contourClr>
          </a:sp3d>
        </c:spPr>
      </c:pivotFmt>
    </c:pivotFmts>
    <c:plotArea>
      <c:layout/>
      <c:barChart>
        <c:barDir val="bar"/>
        <c:grouping val="clustered"/>
        <c:varyColors val="0"/>
        <c:ser>
          <c:idx val="0"/>
          <c:order val="0"/>
          <c:tx>
            <c:strRef>
              <c:f>'Pivot tables'!$G$19</c:f>
              <c:strCache>
                <c:ptCount val="1"/>
                <c:pt idx="0">
                  <c:v>Total</c:v>
                </c:pt>
              </c:strCache>
            </c:strRef>
          </c:tx>
          <c:spPr>
            <a:solidFill>
              <a:schemeClr val="accent1"/>
            </a:solidFill>
            <a:ln w="3175">
              <a:solidFill>
                <a:schemeClr val="bg1"/>
              </a:solidFill>
            </a:ln>
            <a:effectLst/>
          </c:spPr>
          <c:invertIfNegative val="0"/>
          <c:dPt>
            <c:idx val="0"/>
            <c:invertIfNegative val="0"/>
            <c:bubble3D val="0"/>
            <c:spPr>
              <a:solidFill>
                <a:srgbClr val="005092"/>
              </a:solidFill>
              <a:ln w="3175">
                <a:solidFill>
                  <a:schemeClr val="bg1"/>
                </a:solidFill>
              </a:ln>
              <a:effectLst/>
              <a:sp3d contourW="25400">
                <a:contourClr>
                  <a:srgbClr val="005092"/>
                </a:contourClr>
              </a:sp3d>
            </c:spPr>
            <c:extLst>
              <c:ext xmlns:c16="http://schemas.microsoft.com/office/drawing/2014/chart" uri="{C3380CC4-5D6E-409C-BE32-E72D297353CC}">
                <c16:uniqueId val="{00000001-271F-497D-AD02-DBF9BC785C6C}"/>
              </c:ext>
            </c:extLst>
          </c:dPt>
          <c:dPt>
            <c:idx val="1"/>
            <c:invertIfNegative val="0"/>
            <c:bubble3D val="0"/>
            <c:spPr>
              <a:solidFill>
                <a:srgbClr val="0078DE"/>
              </a:solidFill>
              <a:ln w="3175">
                <a:solidFill>
                  <a:schemeClr val="bg1"/>
                </a:solidFill>
              </a:ln>
              <a:effectLst/>
              <a:sp3d contourW="25400">
                <a:contourClr>
                  <a:srgbClr val="0078DE"/>
                </a:contourClr>
              </a:sp3d>
            </c:spPr>
            <c:extLst>
              <c:ext xmlns:c16="http://schemas.microsoft.com/office/drawing/2014/chart" uri="{C3380CC4-5D6E-409C-BE32-E72D297353CC}">
                <c16:uniqueId val="{00000003-271F-497D-AD02-DBF9BC785C6C}"/>
              </c:ext>
            </c:extLst>
          </c:dPt>
          <c:dPt>
            <c:idx val="2"/>
            <c:invertIfNegative val="0"/>
            <c:bubble3D val="0"/>
            <c:spPr>
              <a:solidFill>
                <a:srgbClr val="37A0FF"/>
              </a:solidFill>
              <a:ln w="3175">
                <a:solidFill>
                  <a:schemeClr val="bg1"/>
                </a:solidFill>
              </a:ln>
              <a:effectLst/>
              <a:sp3d contourW="25400">
                <a:contourClr>
                  <a:srgbClr val="37A0FF"/>
                </a:contourClr>
              </a:sp3d>
            </c:spPr>
            <c:extLst>
              <c:ext xmlns:c16="http://schemas.microsoft.com/office/drawing/2014/chart" uri="{C3380CC4-5D6E-409C-BE32-E72D297353CC}">
                <c16:uniqueId val="{00000005-271F-497D-AD02-DBF9BC785C6C}"/>
              </c:ext>
            </c:extLst>
          </c:dPt>
          <c:dPt>
            <c:idx val="3"/>
            <c:invertIfNegative val="0"/>
            <c:bubble3D val="0"/>
            <c:spPr>
              <a:solidFill>
                <a:srgbClr val="85C8FF"/>
              </a:solidFill>
              <a:ln w="3175">
                <a:solidFill>
                  <a:schemeClr val="bg1"/>
                </a:solidFill>
              </a:ln>
              <a:effectLst/>
              <a:sp3d contourW="25400">
                <a:contourClr>
                  <a:srgbClr val="85C8FF"/>
                </a:contourClr>
              </a:sp3d>
            </c:spPr>
            <c:extLst>
              <c:ext xmlns:c16="http://schemas.microsoft.com/office/drawing/2014/chart" uri="{C3380CC4-5D6E-409C-BE32-E72D297353CC}">
                <c16:uniqueId val="{00000007-271F-497D-AD02-DBF9BC785C6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tables'!$F$20:$F$24</c:f>
              <c:strCache>
                <c:ptCount val="4"/>
                <c:pt idx="0">
                  <c:v>West</c:v>
                </c:pt>
                <c:pt idx="1">
                  <c:v>South</c:v>
                </c:pt>
                <c:pt idx="2">
                  <c:v>East</c:v>
                </c:pt>
                <c:pt idx="3">
                  <c:v>North</c:v>
                </c:pt>
              </c:strCache>
            </c:strRef>
          </c:cat>
          <c:val>
            <c:numRef>
              <c:f>'Pivot tables'!$G$20:$G$24</c:f>
              <c:numCache>
                <c:formatCode>General</c:formatCode>
                <c:ptCount val="4"/>
                <c:pt idx="0">
                  <c:v>371.26</c:v>
                </c:pt>
                <c:pt idx="1">
                  <c:v>372.68</c:v>
                </c:pt>
                <c:pt idx="2">
                  <c:v>771.82</c:v>
                </c:pt>
                <c:pt idx="3">
                  <c:v>788.7</c:v>
                </c:pt>
              </c:numCache>
            </c:numRef>
          </c:val>
          <c:extLst>
            <c:ext xmlns:c16="http://schemas.microsoft.com/office/drawing/2014/chart" uri="{C3380CC4-5D6E-409C-BE32-E72D297353CC}">
              <c16:uniqueId val="{00000008-271F-497D-AD02-DBF9BC785C6C}"/>
            </c:ext>
          </c:extLst>
        </c:ser>
        <c:dLbls>
          <c:showLegendKey val="0"/>
          <c:showVal val="0"/>
          <c:showCatName val="0"/>
          <c:showSerName val="0"/>
          <c:showPercent val="0"/>
          <c:showBubbleSize val="0"/>
        </c:dLbls>
        <c:gapWidth val="100"/>
        <c:axId val="75512752"/>
        <c:axId val="1508561407"/>
      </c:barChart>
      <c:valAx>
        <c:axId val="15085614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5512752"/>
        <c:crosses val="autoZero"/>
        <c:crossBetween val="between"/>
      </c:valAx>
      <c:catAx>
        <c:axId val="755127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0856140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00B0F0"/>
        </a:gs>
        <a:gs pos="46000">
          <a:schemeClr val="tx2">
            <a:lumMod val="75000"/>
          </a:schemeClr>
        </a:gs>
        <a:gs pos="100000">
          <a:schemeClr val="tx2">
            <a:lumMod val="50000"/>
          </a:schemeClr>
        </a:gs>
      </a:gsLst>
      <a:path path="rect">
        <a:fillToRect l="100000" t="10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[Month1_Week4_Practice(AutoRecovered).xlsx]Pivot tables!PivotTable12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Average</a:t>
            </a:r>
            <a:r>
              <a:rPr lang="en-US" baseline="0">
                <a:solidFill>
                  <a:schemeClr val="bg1"/>
                </a:solidFill>
              </a:rPr>
              <a:t> Revenue By Sales Rap</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E1D36AB5-9F20-48E1-A9B5-6AC6E46D6E4F}" type="VALUE">
                  <a:rPr lang="en-US"/>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E1D36AB5-9F20-48E1-A9B5-6AC6E46D6E4F}" type="VALUE">
                  <a:rPr lang="en-US"/>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3175">
            <a:solidFill>
              <a:schemeClr val="bg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E1D36AB5-9F20-48E1-A9B5-6AC6E46D6E4F}" type="VALUE">
                  <a:rPr lang="en-US"/>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tables'!$I$19</c:f>
              <c:strCache>
                <c:ptCount val="1"/>
                <c:pt idx="0">
                  <c:v>Total</c:v>
                </c:pt>
              </c:strCache>
            </c:strRef>
          </c:tx>
          <c:spPr>
            <a:solidFill>
              <a:schemeClr val="accent1"/>
            </a:solidFill>
            <a:ln>
              <a:noFill/>
            </a:ln>
            <a:effectLst/>
          </c:spPr>
          <c:invertIfNegative val="0"/>
          <c:cat>
            <c:strRef>
              <c:f>'Pivot tables'!$H$20:$H$32</c:f>
              <c:strCache>
                <c:ptCount val="12"/>
                <c:pt idx="0">
                  <c:v>Amanda Thomas</c:v>
                </c:pt>
                <c:pt idx="1">
                  <c:v>Ashley White</c:v>
                </c:pt>
                <c:pt idx="2">
                  <c:v>Chris Anderson</c:v>
                </c:pt>
                <c:pt idx="3">
                  <c:v>David Lee</c:v>
                </c:pt>
                <c:pt idx="4">
                  <c:v>Emily Davis</c:v>
                </c:pt>
                <c:pt idx="5">
                  <c:v>James Wilson</c:v>
                </c:pt>
                <c:pt idx="6">
                  <c:v>Jennifer Taylor</c:v>
                </c:pt>
                <c:pt idx="7">
                  <c:v>Joshua Jackson</c:v>
                </c:pt>
                <c:pt idx="8">
                  <c:v>Lisa Martinez</c:v>
                </c:pt>
                <c:pt idx="9">
                  <c:v>Mike Johnson</c:v>
                </c:pt>
                <c:pt idx="10">
                  <c:v>Robert Brown</c:v>
                </c:pt>
                <c:pt idx="11">
                  <c:v>Sarah Connor</c:v>
                </c:pt>
              </c:strCache>
            </c:strRef>
          </c:cat>
          <c:val>
            <c:numRef>
              <c:f>'Pivot tables'!$I$20:$I$32</c:f>
              <c:numCache>
                <c:formatCode>General</c:formatCode>
                <c:ptCount val="12"/>
                <c:pt idx="0">
                  <c:v>204.94117647058823</c:v>
                </c:pt>
                <c:pt idx="1">
                  <c:v>255.125</c:v>
                </c:pt>
                <c:pt idx="2">
                  <c:v>544.05882352941171</c:v>
                </c:pt>
                <c:pt idx="3">
                  <c:v>1213.2941176470588</c:v>
                </c:pt>
                <c:pt idx="4">
                  <c:v>227.8125</c:v>
                </c:pt>
                <c:pt idx="5">
                  <c:v>1344</c:v>
                </c:pt>
                <c:pt idx="6">
                  <c:v>544.75</c:v>
                </c:pt>
                <c:pt idx="7">
                  <c:v>646.88235294117646</c:v>
                </c:pt>
                <c:pt idx="8">
                  <c:v>287.35294117647061</c:v>
                </c:pt>
                <c:pt idx="9">
                  <c:v>553.94117647058829</c:v>
                </c:pt>
                <c:pt idx="10">
                  <c:v>594.35294117647061</c:v>
                </c:pt>
                <c:pt idx="11">
                  <c:v>500.8235294117647</c:v>
                </c:pt>
              </c:numCache>
            </c:numRef>
          </c:val>
          <c:extLst>
            <c:ext xmlns:c16="http://schemas.microsoft.com/office/drawing/2014/chart" uri="{C3380CC4-5D6E-409C-BE32-E72D297353CC}">
              <c16:uniqueId val="{00000004-004F-4E2D-B7FE-085327639F9E}"/>
            </c:ext>
          </c:extLst>
        </c:ser>
        <c:dLbls>
          <c:showLegendKey val="0"/>
          <c:showVal val="0"/>
          <c:showCatName val="0"/>
          <c:showSerName val="0"/>
          <c:showPercent val="0"/>
          <c:showBubbleSize val="0"/>
        </c:dLbls>
        <c:gapWidth val="182"/>
        <c:axId val="1002246351"/>
        <c:axId val="969033471"/>
      </c:barChart>
      <c:catAx>
        <c:axId val="1002246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69033471"/>
        <c:crosses val="autoZero"/>
        <c:auto val="1"/>
        <c:lblAlgn val="ctr"/>
        <c:lblOffset val="100"/>
        <c:noMultiLvlLbl val="0"/>
      </c:catAx>
      <c:valAx>
        <c:axId val="9690334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02246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00B0F0"/>
        </a:gs>
        <a:gs pos="46000">
          <a:schemeClr val="tx2">
            <a:lumMod val="75000"/>
          </a:schemeClr>
        </a:gs>
        <a:gs pos="100000">
          <a:schemeClr val="tx2">
            <a:lumMod val="50000"/>
          </a:schemeClr>
        </a:gs>
      </a:gsLst>
      <a:path path="rect">
        <a:fillToRect l="100000" t="10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[Month1_Week4_Practice(AutoRecovered).xlsx]Pivot tables!PivotTable1</c:name>
    <c:fmtId val="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Units</a:t>
            </a:r>
            <a:r>
              <a:rPr lang="en-US" baseline="0">
                <a:solidFill>
                  <a:schemeClr val="bg1"/>
                </a:solidFill>
              </a:rPr>
              <a:t> Sold By Categetoy VS Revenue By Category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7375E"/>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w="3175">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3175">
            <a:solidFill>
              <a:schemeClr val="bg1"/>
            </a:solidFill>
          </a:ln>
          <a:effectLst/>
        </c:spPr>
        <c:dLbl>
          <c:idx val="0"/>
          <c:layout>
            <c:manualLayout>
              <c:x val="-0.38611111111111113"/>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t>Sports</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
        <c:spPr>
          <a:solidFill>
            <a:schemeClr val="accent1"/>
          </a:solidFill>
          <a:ln w="3175">
            <a:solidFill>
              <a:schemeClr val="bg1"/>
            </a:solidFill>
          </a:ln>
          <a:effectLst/>
        </c:spPr>
        <c:dLbl>
          <c:idx val="0"/>
          <c:layout>
            <c:manualLayout>
              <c:x val="-0.2"/>
              <c:y val="-4.2437781360066642E-1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t>Clothing</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
        <c:spPr>
          <a:solidFill>
            <a:schemeClr val="accent1"/>
          </a:solidFill>
          <a:ln w="3175">
            <a:solidFill>
              <a:schemeClr val="bg1"/>
            </a:solidFill>
          </a:ln>
          <a:effectLst/>
        </c:spPr>
        <c:dLbl>
          <c:idx val="0"/>
          <c:layout>
            <c:manualLayout>
              <c:x val="-0.2388888888888889"/>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t>Home Appliances</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5"/>
        <c:spPr>
          <a:solidFill>
            <a:schemeClr val="accent1"/>
          </a:solidFill>
          <a:ln w="3175">
            <a:solidFill>
              <a:schemeClr val="bg1"/>
            </a:solidFill>
          </a:ln>
          <a:effectLst/>
        </c:spPr>
        <c:dLbl>
          <c:idx val="0"/>
          <c:layout>
            <c:manualLayout>
              <c:x val="-9.4444444444444442E-2"/>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t>Beauty</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6"/>
        <c:spPr>
          <a:solidFill>
            <a:schemeClr val="accent1"/>
          </a:solidFill>
          <a:ln w="3175">
            <a:solidFill>
              <a:schemeClr val="bg1"/>
            </a:solidFill>
          </a:ln>
          <a:effectLst/>
        </c:spPr>
        <c:dLbl>
          <c:idx val="0"/>
          <c:layout>
            <c:manualLayout>
              <c:x val="-0.13055555555555559"/>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t>Electronics</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7"/>
        <c:spPr>
          <a:solidFill>
            <a:srgbClr val="17375E"/>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w="3175">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3175">
            <a:solidFill>
              <a:schemeClr val="bg1"/>
            </a:solidFill>
          </a:ln>
          <a:effectLst/>
        </c:spPr>
        <c:dLbl>
          <c:idx val="0"/>
          <c:layout>
            <c:manualLayout>
              <c:x val="-0.13055555555555559"/>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t>Electronics</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0"/>
        <c:spPr>
          <a:solidFill>
            <a:schemeClr val="accent1"/>
          </a:solidFill>
          <a:ln w="3175">
            <a:solidFill>
              <a:schemeClr val="bg1"/>
            </a:solidFill>
          </a:ln>
          <a:effectLst/>
        </c:spPr>
        <c:dLbl>
          <c:idx val="0"/>
          <c:layout>
            <c:manualLayout>
              <c:x val="-9.4444444444444442E-2"/>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t>Beauty</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1"/>
        <c:spPr>
          <a:solidFill>
            <a:schemeClr val="accent1"/>
          </a:solidFill>
          <a:ln w="3175">
            <a:solidFill>
              <a:schemeClr val="bg1"/>
            </a:solidFill>
          </a:ln>
          <a:effectLst/>
        </c:spPr>
        <c:dLbl>
          <c:idx val="0"/>
          <c:layout>
            <c:manualLayout>
              <c:x val="-0.2388888888888889"/>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t>Home Appliances</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2"/>
        <c:spPr>
          <a:solidFill>
            <a:schemeClr val="accent1"/>
          </a:solidFill>
          <a:ln w="3175">
            <a:solidFill>
              <a:schemeClr val="bg1"/>
            </a:solidFill>
          </a:ln>
          <a:effectLst/>
        </c:spPr>
        <c:dLbl>
          <c:idx val="0"/>
          <c:layout>
            <c:manualLayout>
              <c:x val="-0.2"/>
              <c:y val="-4.2437781360066642E-1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t>Clothing</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3"/>
        <c:spPr>
          <a:solidFill>
            <a:schemeClr val="accent1"/>
          </a:solidFill>
          <a:ln w="3175">
            <a:solidFill>
              <a:schemeClr val="bg1"/>
            </a:solidFill>
          </a:ln>
          <a:effectLst/>
        </c:spPr>
        <c:dLbl>
          <c:idx val="0"/>
          <c:layout>
            <c:manualLayout>
              <c:x val="-0.38611111111111113"/>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t>Sports</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4"/>
        <c:spPr>
          <a:solidFill>
            <a:srgbClr val="17375E"/>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w="3175">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3175">
            <a:solidFill>
              <a:schemeClr val="bg1"/>
            </a:solidFill>
          </a:ln>
          <a:effectLst/>
        </c:spPr>
        <c:dLbl>
          <c:idx val="0"/>
          <c:layout>
            <c:manualLayout>
              <c:x val="-0.13055555555555559"/>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t>Electronics</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7"/>
        <c:spPr>
          <a:solidFill>
            <a:schemeClr val="accent1"/>
          </a:solidFill>
          <a:ln w="3175">
            <a:solidFill>
              <a:schemeClr val="bg1"/>
            </a:solidFill>
          </a:ln>
          <a:effectLst/>
        </c:spPr>
        <c:dLbl>
          <c:idx val="0"/>
          <c:layout>
            <c:manualLayout>
              <c:x val="-9.4444444444444442E-2"/>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t>Beauty</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8"/>
        <c:spPr>
          <a:solidFill>
            <a:schemeClr val="accent1"/>
          </a:solidFill>
          <a:ln w="3175">
            <a:solidFill>
              <a:schemeClr val="bg1"/>
            </a:solidFill>
          </a:ln>
          <a:effectLst/>
        </c:spPr>
        <c:dLbl>
          <c:idx val="0"/>
          <c:layout>
            <c:manualLayout>
              <c:x val="-0.2388888888888889"/>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t>Home Appliances</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9"/>
        <c:spPr>
          <a:solidFill>
            <a:schemeClr val="accent1"/>
          </a:solidFill>
          <a:ln w="3175">
            <a:solidFill>
              <a:schemeClr val="bg1"/>
            </a:solidFill>
          </a:ln>
          <a:effectLst/>
        </c:spPr>
        <c:dLbl>
          <c:idx val="0"/>
          <c:layout>
            <c:manualLayout>
              <c:x val="-0.2"/>
              <c:y val="-4.2437781360066642E-1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t>Clothing</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0"/>
        <c:spPr>
          <a:solidFill>
            <a:schemeClr val="accent1"/>
          </a:solidFill>
          <a:ln w="3175">
            <a:solidFill>
              <a:schemeClr val="bg1"/>
            </a:solidFill>
          </a:ln>
          <a:effectLst/>
        </c:spPr>
        <c:dLbl>
          <c:idx val="0"/>
          <c:layout>
            <c:manualLayout>
              <c:x val="-0.38611111111111113"/>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t>Sports</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plotArea>
      <c:layout/>
      <c:barChart>
        <c:barDir val="col"/>
        <c:grouping val="clustered"/>
        <c:varyColors val="0"/>
        <c:ser>
          <c:idx val="1"/>
          <c:order val="1"/>
          <c:tx>
            <c:strRef>
              <c:f>'Pivot tables'!$C$29</c:f>
              <c:strCache>
                <c:ptCount val="1"/>
                <c:pt idx="0">
                  <c:v>Sum of Revenue ($)</c:v>
                </c:pt>
              </c:strCache>
            </c:strRef>
          </c:tx>
          <c:spPr>
            <a:solidFill>
              <a:srgbClr val="17375E"/>
            </a:solidFill>
            <a:ln w="3175">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w="3175">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tables'!$A$30:$A$35</c:f>
              <c:strCache>
                <c:ptCount val="5"/>
                <c:pt idx="0">
                  <c:v>Electronics</c:v>
                </c:pt>
                <c:pt idx="1">
                  <c:v>Beauty</c:v>
                </c:pt>
                <c:pt idx="2">
                  <c:v>Home Appliances</c:v>
                </c:pt>
                <c:pt idx="3">
                  <c:v>Clothing</c:v>
                </c:pt>
                <c:pt idx="4">
                  <c:v>Sports</c:v>
                </c:pt>
              </c:strCache>
            </c:strRef>
          </c:cat>
          <c:val>
            <c:numRef>
              <c:f>'Pivot tables'!$C$30:$C$35</c:f>
              <c:numCache>
                <c:formatCode>General</c:formatCode>
                <c:ptCount val="5"/>
                <c:pt idx="0">
                  <c:v>38960</c:v>
                </c:pt>
                <c:pt idx="1">
                  <c:v>3291</c:v>
                </c:pt>
                <c:pt idx="2">
                  <c:v>19170</c:v>
                </c:pt>
                <c:pt idx="3">
                  <c:v>6694</c:v>
                </c:pt>
                <c:pt idx="4">
                  <c:v>47108</c:v>
                </c:pt>
              </c:numCache>
            </c:numRef>
          </c:val>
          <c:extLst>
            <c:ext xmlns:c16="http://schemas.microsoft.com/office/drawing/2014/chart" uri="{C3380CC4-5D6E-409C-BE32-E72D297353CC}">
              <c16:uniqueId val="{00000000-9429-4F06-AEDE-4423926C7DFA}"/>
            </c:ext>
          </c:extLst>
        </c:ser>
        <c:dLbls>
          <c:showLegendKey val="0"/>
          <c:showVal val="1"/>
          <c:showCatName val="0"/>
          <c:showSerName val="0"/>
          <c:showPercent val="0"/>
          <c:showBubbleSize val="0"/>
        </c:dLbls>
        <c:gapWidth val="219"/>
        <c:overlap val="26"/>
        <c:axId val="1250541631"/>
        <c:axId val="1223071423"/>
      </c:barChart>
      <c:barChart>
        <c:barDir val="bar"/>
        <c:grouping val="clustered"/>
        <c:varyColors val="0"/>
        <c:ser>
          <c:idx val="0"/>
          <c:order val="0"/>
          <c:tx>
            <c:strRef>
              <c:f>'Pivot tables'!$B$29</c:f>
              <c:strCache>
                <c:ptCount val="1"/>
                <c:pt idx="0">
                  <c:v>Sum of Units Sold</c:v>
                </c:pt>
              </c:strCache>
            </c:strRef>
          </c:tx>
          <c:spPr>
            <a:solidFill>
              <a:schemeClr val="accent1"/>
            </a:solidFill>
            <a:ln w="3175">
              <a:solidFill>
                <a:schemeClr val="bg1"/>
              </a:solidFill>
            </a:ln>
            <a:effectLst/>
          </c:spPr>
          <c:invertIfNegative val="0"/>
          <c:dPt>
            <c:idx val="0"/>
            <c:invertIfNegative val="0"/>
            <c:bubble3D val="0"/>
            <c:spPr>
              <a:solidFill>
                <a:schemeClr val="accent1"/>
              </a:solidFill>
              <a:ln w="3175">
                <a:solidFill>
                  <a:schemeClr val="bg1"/>
                </a:solidFill>
              </a:ln>
              <a:effectLst/>
            </c:spPr>
            <c:extLst>
              <c:ext xmlns:c16="http://schemas.microsoft.com/office/drawing/2014/chart" uri="{C3380CC4-5D6E-409C-BE32-E72D297353CC}">
                <c16:uniqueId val="{00000001-9429-4F06-AEDE-4423926C7DFA}"/>
              </c:ext>
            </c:extLst>
          </c:dPt>
          <c:dPt>
            <c:idx val="1"/>
            <c:invertIfNegative val="0"/>
            <c:bubble3D val="0"/>
            <c:spPr>
              <a:solidFill>
                <a:schemeClr val="accent1"/>
              </a:solidFill>
              <a:ln w="3175">
                <a:solidFill>
                  <a:schemeClr val="bg1"/>
                </a:solidFill>
              </a:ln>
              <a:effectLst/>
            </c:spPr>
            <c:extLst>
              <c:ext xmlns:c16="http://schemas.microsoft.com/office/drawing/2014/chart" uri="{C3380CC4-5D6E-409C-BE32-E72D297353CC}">
                <c16:uniqueId val="{00000002-9429-4F06-AEDE-4423926C7DFA}"/>
              </c:ext>
            </c:extLst>
          </c:dPt>
          <c:dPt>
            <c:idx val="2"/>
            <c:invertIfNegative val="0"/>
            <c:bubble3D val="0"/>
            <c:spPr>
              <a:solidFill>
                <a:schemeClr val="accent1"/>
              </a:solidFill>
              <a:ln w="3175">
                <a:solidFill>
                  <a:schemeClr val="bg1"/>
                </a:solidFill>
              </a:ln>
              <a:effectLst/>
            </c:spPr>
            <c:extLst>
              <c:ext xmlns:c16="http://schemas.microsoft.com/office/drawing/2014/chart" uri="{C3380CC4-5D6E-409C-BE32-E72D297353CC}">
                <c16:uniqueId val="{00000003-9429-4F06-AEDE-4423926C7DFA}"/>
              </c:ext>
            </c:extLst>
          </c:dPt>
          <c:dPt>
            <c:idx val="3"/>
            <c:invertIfNegative val="0"/>
            <c:bubble3D val="0"/>
            <c:spPr>
              <a:solidFill>
                <a:schemeClr val="accent1"/>
              </a:solidFill>
              <a:ln w="3175">
                <a:solidFill>
                  <a:schemeClr val="bg1"/>
                </a:solidFill>
              </a:ln>
              <a:effectLst/>
            </c:spPr>
            <c:extLst>
              <c:ext xmlns:c16="http://schemas.microsoft.com/office/drawing/2014/chart" uri="{C3380CC4-5D6E-409C-BE32-E72D297353CC}">
                <c16:uniqueId val="{00000004-9429-4F06-AEDE-4423926C7DFA}"/>
              </c:ext>
            </c:extLst>
          </c:dPt>
          <c:dPt>
            <c:idx val="4"/>
            <c:invertIfNegative val="0"/>
            <c:bubble3D val="0"/>
            <c:spPr>
              <a:solidFill>
                <a:schemeClr val="accent1"/>
              </a:solidFill>
              <a:ln w="3175">
                <a:solidFill>
                  <a:schemeClr val="bg1"/>
                </a:solidFill>
              </a:ln>
              <a:effectLst/>
            </c:spPr>
            <c:extLst>
              <c:ext xmlns:c16="http://schemas.microsoft.com/office/drawing/2014/chart" uri="{C3380CC4-5D6E-409C-BE32-E72D297353CC}">
                <c16:uniqueId val="{00000005-9429-4F06-AEDE-4423926C7DFA}"/>
              </c:ext>
            </c:extLst>
          </c:dPt>
          <c:dLbls>
            <c:dLbl>
              <c:idx val="0"/>
              <c:layout>
                <c:manualLayout>
                  <c:x val="-0.13055555555555559"/>
                  <c:y val="0"/>
                </c:manualLayout>
              </c:layout>
              <c:tx>
                <c:rich>
                  <a:bodyPr/>
                  <a:lstStyle/>
                  <a:p>
                    <a:r>
                      <a:rPr lang="en-US"/>
                      <a:t>Electronics</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429-4F06-AEDE-4423926C7DFA}"/>
                </c:ext>
              </c:extLst>
            </c:dLbl>
            <c:dLbl>
              <c:idx val="1"/>
              <c:layout>
                <c:manualLayout>
                  <c:x val="-9.4444444444444442E-2"/>
                  <c:y val="0"/>
                </c:manualLayout>
              </c:layout>
              <c:tx>
                <c:rich>
                  <a:bodyPr/>
                  <a:lstStyle/>
                  <a:p>
                    <a:r>
                      <a:rPr lang="en-US"/>
                      <a:t>Beauty</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429-4F06-AEDE-4423926C7DFA}"/>
                </c:ext>
              </c:extLst>
            </c:dLbl>
            <c:dLbl>
              <c:idx val="2"/>
              <c:layout>
                <c:manualLayout>
                  <c:x val="-0.2388888888888889"/>
                  <c:y val="0"/>
                </c:manualLayout>
              </c:layout>
              <c:tx>
                <c:rich>
                  <a:bodyPr/>
                  <a:lstStyle/>
                  <a:p>
                    <a:r>
                      <a:rPr lang="en-US"/>
                      <a:t>Home Appliances</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429-4F06-AEDE-4423926C7DFA}"/>
                </c:ext>
              </c:extLst>
            </c:dLbl>
            <c:dLbl>
              <c:idx val="3"/>
              <c:layout>
                <c:manualLayout>
                  <c:x val="-0.2"/>
                  <c:y val="-4.2437781360066642E-17"/>
                </c:manualLayout>
              </c:layout>
              <c:tx>
                <c:rich>
                  <a:bodyPr/>
                  <a:lstStyle/>
                  <a:p>
                    <a:r>
                      <a:rPr lang="en-US"/>
                      <a:t>Clothing</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429-4F06-AEDE-4423926C7DFA}"/>
                </c:ext>
              </c:extLst>
            </c:dLbl>
            <c:dLbl>
              <c:idx val="4"/>
              <c:layout>
                <c:manualLayout>
                  <c:x val="-0.38611111111111113"/>
                  <c:y val="0"/>
                </c:manualLayout>
              </c:layout>
              <c:tx>
                <c:rich>
                  <a:bodyPr/>
                  <a:lstStyle/>
                  <a:p>
                    <a:r>
                      <a:rPr lang="en-US"/>
                      <a:t>Sports</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429-4F06-AEDE-4423926C7DF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tables'!$A$30:$A$35</c:f>
              <c:strCache>
                <c:ptCount val="5"/>
                <c:pt idx="0">
                  <c:v>Electronics</c:v>
                </c:pt>
                <c:pt idx="1">
                  <c:v>Beauty</c:v>
                </c:pt>
                <c:pt idx="2">
                  <c:v>Home Appliances</c:v>
                </c:pt>
                <c:pt idx="3">
                  <c:v>Clothing</c:v>
                </c:pt>
                <c:pt idx="4">
                  <c:v>Sports</c:v>
                </c:pt>
              </c:strCache>
            </c:strRef>
          </c:cat>
          <c:val>
            <c:numRef>
              <c:f>'Pivot tables'!$B$30:$B$35</c:f>
              <c:numCache>
                <c:formatCode>General</c:formatCode>
                <c:ptCount val="5"/>
                <c:pt idx="0">
                  <c:v>40</c:v>
                </c:pt>
                <c:pt idx="1">
                  <c:v>40</c:v>
                </c:pt>
                <c:pt idx="2">
                  <c:v>60</c:v>
                </c:pt>
                <c:pt idx="3">
                  <c:v>60</c:v>
                </c:pt>
                <c:pt idx="4">
                  <c:v>100</c:v>
                </c:pt>
              </c:numCache>
            </c:numRef>
          </c:val>
          <c:extLst>
            <c:ext xmlns:c16="http://schemas.microsoft.com/office/drawing/2014/chart" uri="{C3380CC4-5D6E-409C-BE32-E72D297353CC}">
              <c16:uniqueId val="{00000006-9429-4F06-AEDE-4423926C7DFA}"/>
            </c:ext>
          </c:extLst>
        </c:ser>
        <c:dLbls>
          <c:showLegendKey val="0"/>
          <c:showVal val="1"/>
          <c:showCatName val="0"/>
          <c:showSerName val="0"/>
          <c:showPercent val="0"/>
          <c:showBubbleSize val="0"/>
        </c:dLbls>
        <c:gapWidth val="119"/>
        <c:overlap val="26"/>
        <c:axId val="1204164575"/>
        <c:axId val="1223099263"/>
      </c:barChart>
      <c:catAx>
        <c:axId val="1250541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23071423"/>
        <c:crosses val="autoZero"/>
        <c:auto val="1"/>
        <c:lblAlgn val="ctr"/>
        <c:lblOffset val="100"/>
        <c:noMultiLvlLbl val="0"/>
      </c:catAx>
      <c:valAx>
        <c:axId val="1223071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50541631"/>
        <c:crosses val="autoZero"/>
        <c:crossBetween val="between"/>
      </c:valAx>
      <c:valAx>
        <c:axId val="1223099263"/>
        <c:scaling>
          <c:orientation val="minMax"/>
        </c:scaling>
        <c:delete val="0"/>
        <c:axPos val="t"/>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04164575"/>
        <c:crosses val="max"/>
        <c:crossBetween val="between"/>
      </c:valAx>
      <c:catAx>
        <c:axId val="1204164575"/>
        <c:scaling>
          <c:orientation val="minMax"/>
        </c:scaling>
        <c:delete val="1"/>
        <c:axPos val="l"/>
        <c:numFmt formatCode="General" sourceLinked="1"/>
        <c:majorTickMark val="out"/>
        <c:minorTickMark val="none"/>
        <c:tickLblPos val="nextTo"/>
        <c:crossAx val="122309926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00B0F0"/>
        </a:gs>
        <a:gs pos="46000">
          <a:schemeClr val="tx2">
            <a:lumMod val="75000"/>
          </a:schemeClr>
        </a:gs>
        <a:gs pos="100000">
          <a:schemeClr val="tx2">
            <a:lumMod val="50000"/>
          </a:schemeClr>
        </a:gs>
      </a:gsLst>
      <a:path path="rect">
        <a:fillToRect l="100000" t="100000"/>
      </a:path>
      <a:tileRect r="-100000" b="-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[Month1_Week4_Practice(AutoRecovered).xlsx]Pivot tables!PivotTable13</c:name>
    <c:fmtId val="1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Underperforming</a:t>
            </a:r>
            <a:r>
              <a:rPr lang="en-US" baseline="0">
                <a:solidFill>
                  <a:schemeClr val="bg1"/>
                </a:solidFill>
              </a:rPr>
              <a:t> Products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85C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5C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5C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tables'!$J$45</c:f>
              <c:strCache>
                <c:ptCount val="1"/>
                <c:pt idx="0">
                  <c:v>Total</c:v>
                </c:pt>
              </c:strCache>
            </c:strRef>
          </c:tx>
          <c:spPr>
            <a:solidFill>
              <a:srgbClr val="85C8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tables'!$I$46:$I$61</c:f>
              <c:strCache>
                <c:ptCount val="15"/>
                <c:pt idx="0">
                  <c:v>MAC Lipstick</c:v>
                </c:pt>
                <c:pt idx="1">
                  <c:v>Charlotte Tilbury</c:v>
                </c:pt>
                <c:pt idx="2">
                  <c:v>Fenty Foundation</c:v>
                </c:pt>
                <c:pt idx="3">
                  <c:v>Zara Dress</c:v>
                </c:pt>
                <c:pt idx="4">
                  <c:v>Levi Jeans</c:v>
                </c:pt>
                <c:pt idx="5">
                  <c:v>Tatcha Serum</c:v>
                </c:pt>
                <c:pt idx="6">
                  <c:v>Ralph Lauren Polo</c:v>
                </c:pt>
                <c:pt idx="7">
                  <c:v>Dior Perfume</c:v>
                </c:pt>
                <c:pt idx="8">
                  <c:v>Ninja Blender</c:v>
                </c:pt>
                <c:pt idx="9">
                  <c:v>SK-II Essence</c:v>
                </c:pt>
                <c:pt idx="10">
                  <c:v>Nike Hoodie</c:v>
                </c:pt>
                <c:pt idx="11">
                  <c:v>Adidas Tracksuit</c:v>
                </c:pt>
                <c:pt idx="12">
                  <c:v>AirPods Pro</c:v>
                </c:pt>
                <c:pt idx="13">
                  <c:v>Fitbit Tracker</c:v>
                </c:pt>
                <c:pt idx="14">
                  <c:v>Instant Pot</c:v>
                </c:pt>
              </c:strCache>
            </c:strRef>
          </c:cat>
          <c:val>
            <c:numRef>
              <c:f>'Pivot tables'!$J$46:$J$61</c:f>
              <c:numCache>
                <c:formatCode>General</c:formatCode>
                <c:ptCount val="15"/>
                <c:pt idx="0">
                  <c:v>168</c:v>
                </c:pt>
                <c:pt idx="1">
                  <c:v>228</c:v>
                </c:pt>
                <c:pt idx="2">
                  <c:v>294</c:v>
                </c:pt>
                <c:pt idx="3">
                  <c:v>390</c:v>
                </c:pt>
                <c:pt idx="4">
                  <c:v>553</c:v>
                </c:pt>
                <c:pt idx="5">
                  <c:v>616</c:v>
                </c:pt>
                <c:pt idx="6">
                  <c:v>665</c:v>
                </c:pt>
                <c:pt idx="7">
                  <c:v>875</c:v>
                </c:pt>
                <c:pt idx="8">
                  <c:v>894</c:v>
                </c:pt>
                <c:pt idx="9">
                  <c:v>1110</c:v>
                </c:pt>
                <c:pt idx="10">
                  <c:v>1246</c:v>
                </c:pt>
                <c:pt idx="11">
                  <c:v>1320</c:v>
                </c:pt>
                <c:pt idx="12">
                  <c:v>1743</c:v>
                </c:pt>
                <c:pt idx="13">
                  <c:v>1788</c:v>
                </c:pt>
                <c:pt idx="14">
                  <c:v>1806</c:v>
                </c:pt>
              </c:numCache>
            </c:numRef>
          </c:val>
          <c:extLst>
            <c:ext xmlns:c16="http://schemas.microsoft.com/office/drawing/2014/chart" uri="{C3380CC4-5D6E-409C-BE32-E72D297353CC}">
              <c16:uniqueId val="{00000000-3E8C-446B-9FA2-1D353E453BBF}"/>
            </c:ext>
          </c:extLst>
        </c:ser>
        <c:dLbls>
          <c:dLblPos val="outEnd"/>
          <c:showLegendKey val="0"/>
          <c:showVal val="1"/>
          <c:showCatName val="0"/>
          <c:showSerName val="0"/>
          <c:showPercent val="0"/>
          <c:showBubbleSize val="0"/>
        </c:dLbls>
        <c:gapWidth val="182"/>
        <c:axId val="710918928"/>
        <c:axId val="705098304"/>
      </c:barChart>
      <c:catAx>
        <c:axId val="710918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05098304"/>
        <c:crosses val="autoZero"/>
        <c:auto val="1"/>
        <c:lblAlgn val="ctr"/>
        <c:lblOffset val="100"/>
        <c:noMultiLvlLbl val="0"/>
      </c:catAx>
      <c:valAx>
        <c:axId val="705098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10918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00B0F0"/>
        </a:gs>
        <a:gs pos="46000">
          <a:schemeClr val="tx2">
            <a:lumMod val="75000"/>
          </a:schemeClr>
        </a:gs>
        <a:gs pos="100000">
          <a:schemeClr val="tx2">
            <a:lumMod val="50000"/>
          </a:schemeClr>
        </a:gs>
      </a:gsLst>
      <a:path path="rect">
        <a:fillToRect l="100000" t="100000"/>
      </a:path>
      <a:tileRect r="-100000" b="-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[Month1_Week4_Practice(AutoRecovered).xlsx]Pivot tables!PivotTable6</c:name>
    <c:fmtId val="2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a:t>
            </a:r>
            <a:r>
              <a:rPr lang="en-US" baseline="0">
                <a:solidFill>
                  <a:schemeClr val="bg1"/>
                </a:solidFill>
              </a:rPr>
              <a:t> Performing Region</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D8FFF"/>
          </a:solidFill>
          <a:ln>
            <a:noFill/>
          </a:ln>
          <a:effectLst/>
        </c:spPr>
      </c:pivotFmt>
      <c:pivotFmt>
        <c:idx val="2"/>
        <c:spPr>
          <a:solidFill>
            <a:srgbClr val="5D8FFF"/>
          </a:solidFill>
          <a:ln>
            <a:noFill/>
          </a:ln>
          <a:effectLst/>
        </c:spPr>
      </c:pivotFmt>
      <c:pivotFmt>
        <c:idx val="3"/>
        <c:spPr>
          <a:solidFill>
            <a:srgbClr val="0150FF"/>
          </a:solidFill>
          <a:ln>
            <a:noFill/>
          </a:ln>
          <a:effectLst/>
        </c:spPr>
      </c:pivotFmt>
      <c:pivotFmt>
        <c:idx val="4"/>
        <c:spPr>
          <a:solidFill>
            <a:srgbClr val="0036B0"/>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36B0"/>
          </a:solidFill>
          <a:ln>
            <a:noFill/>
          </a:ln>
          <a:effectLst/>
        </c:spPr>
      </c:pivotFmt>
      <c:pivotFmt>
        <c:idx val="7"/>
        <c:spPr>
          <a:solidFill>
            <a:srgbClr val="0150FF"/>
          </a:solidFill>
          <a:ln>
            <a:noFill/>
          </a:ln>
          <a:effectLst/>
        </c:spPr>
      </c:pivotFmt>
      <c:pivotFmt>
        <c:idx val="8"/>
        <c:spPr>
          <a:solidFill>
            <a:srgbClr val="5D8FFF"/>
          </a:solidFill>
          <a:ln>
            <a:noFill/>
          </a:ln>
          <a:effectLst/>
        </c:spPr>
      </c:pivotFmt>
      <c:pivotFmt>
        <c:idx val="9"/>
        <c:spPr>
          <a:solidFill>
            <a:srgbClr val="5D8FFF"/>
          </a:solidFill>
          <a:ln>
            <a:noFill/>
          </a:ln>
          <a:effectLst/>
        </c:spPr>
      </c:pivotFmt>
      <c:pivotFmt>
        <c:idx val="10"/>
        <c:spPr>
          <a:solidFill>
            <a:schemeClr val="accent1"/>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036B0"/>
          </a:solidFill>
          <a:ln w="3175">
            <a:solidFill>
              <a:schemeClr val="bg1"/>
            </a:solidFill>
          </a:ln>
          <a:effectLst/>
        </c:spPr>
      </c:pivotFmt>
      <c:pivotFmt>
        <c:idx val="12"/>
        <c:spPr>
          <a:solidFill>
            <a:srgbClr val="0150FF"/>
          </a:solidFill>
          <a:ln w="3175">
            <a:solidFill>
              <a:schemeClr val="bg1"/>
            </a:solidFill>
          </a:ln>
          <a:effectLst/>
        </c:spPr>
      </c:pivotFmt>
      <c:pivotFmt>
        <c:idx val="13"/>
        <c:spPr>
          <a:solidFill>
            <a:srgbClr val="5D8FFF"/>
          </a:solidFill>
          <a:ln w="3175">
            <a:solidFill>
              <a:schemeClr val="bg1"/>
            </a:solidFill>
          </a:ln>
          <a:effectLst/>
        </c:spPr>
      </c:pivotFmt>
      <c:pivotFmt>
        <c:idx val="14"/>
        <c:spPr>
          <a:solidFill>
            <a:srgbClr val="5D8FFF"/>
          </a:solidFill>
          <a:ln w="3175">
            <a:solidFill>
              <a:schemeClr val="bg1"/>
            </a:solidFill>
          </a:ln>
          <a:effectLst/>
        </c:spPr>
      </c:pivotFmt>
      <c:pivotFmt>
        <c:idx val="15"/>
        <c:spPr>
          <a:solidFill>
            <a:schemeClr val="accent1"/>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0036B0"/>
          </a:solidFill>
          <a:ln w="3175">
            <a:solidFill>
              <a:schemeClr val="bg1"/>
            </a:solidFill>
          </a:ln>
          <a:effectLst/>
        </c:spPr>
      </c:pivotFmt>
      <c:pivotFmt>
        <c:idx val="17"/>
        <c:spPr>
          <a:solidFill>
            <a:srgbClr val="0150FF"/>
          </a:solidFill>
          <a:ln w="3175">
            <a:solidFill>
              <a:schemeClr val="bg1"/>
            </a:solidFill>
          </a:ln>
          <a:effectLst/>
        </c:spPr>
      </c:pivotFmt>
      <c:pivotFmt>
        <c:idx val="18"/>
        <c:spPr>
          <a:solidFill>
            <a:srgbClr val="5D8FFF"/>
          </a:solidFill>
          <a:ln w="3175">
            <a:solidFill>
              <a:schemeClr val="bg1"/>
            </a:solidFill>
          </a:ln>
          <a:effectLst/>
        </c:spPr>
      </c:pivotFmt>
      <c:pivotFmt>
        <c:idx val="19"/>
        <c:spPr>
          <a:solidFill>
            <a:srgbClr val="5D8FFF"/>
          </a:solidFill>
          <a:ln w="3175">
            <a:solidFill>
              <a:schemeClr val="bg1"/>
            </a:solidFill>
          </a:ln>
          <a:effectLst/>
        </c:spPr>
      </c:pivotFmt>
      <c:pivotFmt>
        <c:idx val="20"/>
        <c:spPr>
          <a:solidFill>
            <a:schemeClr val="accent1"/>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004EA4"/>
          </a:solidFill>
          <a:ln w="3175">
            <a:solidFill>
              <a:schemeClr val="bg1"/>
            </a:solidFill>
          </a:ln>
          <a:effectLst/>
        </c:spPr>
      </c:pivotFmt>
      <c:pivotFmt>
        <c:idx val="22"/>
        <c:spPr>
          <a:solidFill>
            <a:srgbClr val="007DE6"/>
          </a:solidFill>
          <a:ln w="3175">
            <a:solidFill>
              <a:schemeClr val="bg1"/>
            </a:solidFill>
          </a:ln>
          <a:effectLst/>
        </c:spPr>
      </c:pivotFmt>
      <c:pivotFmt>
        <c:idx val="23"/>
        <c:spPr>
          <a:solidFill>
            <a:srgbClr val="00B0F0"/>
          </a:solidFill>
          <a:ln w="3175">
            <a:solidFill>
              <a:schemeClr val="bg1"/>
            </a:solidFill>
          </a:ln>
          <a:effectLst/>
        </c:spPr>
      </c:pivotFmt>
      <c:pivotFmt>
        <c:idx val="24"/>
        <c:spPr>
          <a:solidFill>
            <a:srgbClr val="85C8FF"/>
          </a:solidFill>
          <a:ln w="3175">
            <a:solidFill>
              <a:schemeClr val="bg1"/>
            </a:solidFill>
          </a:ln>
          <a:effectLst/>
        </c:spPr>
      </c:pivotFmt>
    </c:pivotFmts>
    <c:plotArea>
      <c:layout/>
      <c:barChart>
        <c:barDir val="bar"/>
        <c:grouping val="clustered"/>
        <c:varyColors val="0"/>
        <c:ser>
          <c:idx val="0"/>
          <c:order val="0"/>
          <c:tx>
            <c:strRef>
              <c:f>'Pivot tables'!$D$3</c:f>
              <c:strCache>
                <c:ptCount val="1"/>
                <c:pt idx="0">
                  <c:v>Total</c:v>
                </c:pt>
              </c:strCache>
            </c:strRef>
          </c:tx>
          <c:spPr>
            <a:solidFill>
              <a:schemeClr val="accent1"/>
            </a:solidFill>
            <a:ln w="3175">
              <a:solidFill>
                <a:schemeClr val="bg1"/>
              </a:solidFill>
            </a:ln>
            <a:effectLst/>
          </c:spPr>
          <c:invertIfNegative val="0"/>
          <c:dPt>
            <c:idx val="0"/>
            <c:invertIfNegative val="0"/>
            <c:bubble3D val="0"/>
            <c:spPr>
              <a:solidFill>
                <a:srgbClr val="004EA4"/>
              </a:solidFill>
              <a:ln w="3175">
                <a:solidFill>
                  <a:schemeClr val="bg1"/>
                </a:solidFill>
              </a:ln>
              <a:effectLst/>
            </c:spPr>
            <c:extLst>
              <c:ext xmlns:c16="http://schemas.microsoft.com/office/drawing/2014/chart" uri="{C3380CC4-5D6E-409C-BE32-E72D297353CC}">
                <c16:uniqueId val="{00000001-2678-40F6-9DB4-00386B8E89A3}"/>
              </c:ext>
            </c:extLst>
          </c:dPt>
          <c:dPt>
            <c:idx val="1"/>
            <c:invertIfNegative val="0"/>
            <c:bubble3D val="0"/>
            <c:spPr>
              <a:solidFill>
                <a:srgbClr val="007DE6"/>
              </a:solidFill>
              <a:ln w="3175">
                <a:solidFill>
                  <a:schemeClr val="bg1"/>
                </a:solidFill>
              </a:ln>
              <a:effectLst/>
            </c:spPr>
            <c:extLst>
              <c:ext xmlns:c16="http://schemas.microsoft.com/office/drawing/2014/chart" uri="{C3380CC4-5D6E-409C-BE32-E72D297353CC}">
                <c16:uniqueId val="{00000003-2678-40F6-9DB4-00386B8E89A3}"/>
              </c:ext>
            </c:extLst>
          </c:dPt>
          <c:dPt>
            <c:idx val="2"/>
            <c:invertIfNegative val="0"/>
            <c:bubble3D val="0"/>
            <c:spPr>
              <a:solidFill>
                <a:srgbClr val="00B0F0"/>
              </a:solidFill>
              <a:ln w="3175">
                <a:solidFill>
                  <a:schemeClr val="bg1"/>
                </a:solidFill>
              </a:ln>
              <a:effectLst/>
            </c:spPr>
            <c:extLst>
              <c:ext xmlns:c16="http://schemas.microsoft.com/office/drawing/2014/chart" uri="{C3380CC4-5D6E-409C-BE32-E72D297353CC}">
                <c16:uniqueId val="{00000005-2678-40F6-9DB4-00386B8E89A3}"/>
              </c:ext>
            </c:extLst>
          </c:dPt>
          <c:dPt>
            <c:idx val="3"/>
            <c:invertIfNegative val="0"/>
            <c:bubble3D val="0"/>
            <c:spPr>
              <a:solidFill>
                <a:srgbClr val="85C8FF"/>
              </a:solidFill>
              <a:ln w="3175">
                <a:solidFill>
                  <a:schemeClr val="bg1"/>
                </a:solidFill>
              </a:ln>
              <a:effectLst/>
            </c:spPr>
            <c:extLst>
              <c:ext xmlns:c16="http://schemas.microsoft.com/office/drawing/2014/chart" uri="{C3380CC4-5D6E-409C-BE32-E72D297353CC}">
                <c16:uniqueId val="{00000007-2678-40F6-9DB4-00386B8E89A3}"/>
              </c:ext>
            </c:extLst>
          </c:dPt>
          <c:cat>
            <c:strRef>
              <c:f>'Pivot tables'!$C$4:$C$8</c:f>
              <c:strCache>
                <c:ptCount val="4"/>
                <c:pt idx="0">
                  <c:v>West</c:v>
                </c:pt>
                <c:pt idx="1">
                  <c:v>South</c:v>
                </c:pt>
                <c:pt idx="2">
                  <c:v>East</c:v>
                </c:pt>
                <c:pt idx="3">
                  <c:v>North</c:v>
                </c:pt>
              </c:strCache>
            </c:strRef>
          </c:cat>
          <c:val>
            <c:numRef>
              <c:f>'Pivot tables'!$D$4:$D$8</c:f>
              <c:numCache>
                <c:formatCode>General</c:formatCode>
                <c:ptCount val="4"/>
                <c:pt idx="0">
                  <c:v>18563</c:v>
                </c:pt>
                <c:pt idx="1">
                  <c:v>18634</c:v>
                </c:pt>
                <c:pt idx="2">
                  <c:v>38591</c:v>
                </c:pt>
                <c:pt idx="3">
                  <c:v>39435</c:v>
                </c:pt>
              </c:numCache>
            </c:numRef>
          </c:val>
          <c:extLst>
            <c:ext xmlns:c16="http://schemas.microsoft.com/office/drawing/2014/chart" uri="{C3380CC4-5D6E-409C-BE32-E72D297353CC}">
              <c16:uniqueId val="{00000008-2678-40F6-9DB4-00386B8E89A3}"/>
            </c:ext>
          </c:extLst>
        </c:ser>
        <c:dLbls>
          <c:showLegendKey val="0"/>
          <c:showVal val="0"/>
          <c:showCatName val="0"/>
          <c:showSerName val="0"/>
          <c:showPercent val="0"/>
          <c:showBubbleSize val="0"/>
        </c:dLbls>
        <c:gapWidth val="182"/>
        <c:axId val="1650449439"/>
        <c:axId val="1621600927"/>
      </c:barChart>
      <c:catAx>
        <c:axId val="1650449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21600927"/>
        <c:crosses val="autoZero"/>
        <c:auto val="1"/>
        <c:lblAlgn val="ctr"/>
        <c:lblOffset val="100"/>
        <c:noMultiLvlLbl val="0"/>
      </c:catAx>
      <c:valAx>
        <c:axId val="16216009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50449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00B0F0"/>
        </a:gs>
        <a:gs pos="46000">
          <a:schemeClr val="tx2">
            <a:lumMod val="75000"/>
          </a:schemeClr>
        </a:gs>
        <a:gs pos="100000">
          <a:schemeClr val="tx2">
            <a:lumMod val="50000"/>
          </a:schemeClr>
        </a:gs>
      </a:gsLst>
      <a:path path="rect">
        <a:fillToRect l="100000" t="10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[Month1_Week4_Practice(AutoRecovered).xlsx]Pivot tables!PivotTable8</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Revenue</a:t>
            </a:r>
            <a:r>
              <a:rPr lang="en-US" baseline="0">
                <a:solidFill>
                  <a:schemeClr val="bg1"/>
                </a:solidFill>
              </a:rPr>
              <a:t> Growth By Month</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508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50800" cap="rnd">
            <a:solidFill>
              <a:srgbClr val="CDE7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2A3DC7B7-7BE5-45EB-AEE2-AAD1D8542466}"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solidFill>
          <a:ln w="50800" cap="rnd">
            <a:solidFill>
              <a:srgbClr val="61B4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3E0C856F-B4A7-474C-AC99-1BDC44F4FB3E}"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solidFill>
          <a:ln w="50800" cap="rnd">
            <a:solidFill>
              <a:srgbClr val="0588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B1E3807A-D67F-4609-883C-E0E5D8DE4489}"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w="50800" cap="rnd">
            <a:solidFill>
              <a:srgbClr val="0588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B0186B7A-E4D9-4CBC-97AC-301EB25AB10D}"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solidFill>
          <a:ln w="50800" cap="rnd">
            <a:solidFill>
              <a:srgbClr val="0081F6"/>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98C45CEB-DBD3-457A-82B3-D10439A3DC43}"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solidFill>
          <a:ln w="63500" cap="rnd">
            <a:solidFill>
              <a:srgbClr val="FF480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3943143F-C1F3-43FF-8166-4EFEC5939C18}"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solidFill>
          <a:ln w="508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63500" cap="rnd">
            <a:solidFill>
              <a:srgbClr val="FF480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3943143F-C1F3-43FF-8166-4EFEC5939C18}"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1"/>
          </a:solidFill>
          <a:ln w="50800" cap="rnd">
            <a:solidFill>
              <a:srgbClr val="CDE7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2A3DC7B7-7BE5-45EB-AEE2-AAD1D8542466}"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solidFill>
          <a:ln w="50800" cap="rnd">
            <a:solidFill>
              <a:srgbClr val="61B4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3E0C856F-B4A7-474C-AC99-1BDC44F4FB3E}"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1"/>
          </a:solidFill>
          <a:ln w="50800" cap="rnd">
            <a:solidFill>
              <a:srgbClr val="0588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B1E3807A-D67F-4609-883C-E0E5D8DE4489}"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1"/>
          </a:solidFill>
          <a:ln w="50800" cap="rnd">
            <a:solidFill>
              <a:srgbClr val="0588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B0186B7A-E4D9-4CBC-97AC-301EB25AB10D}"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chemeClr val="accent1"/>
          </a:solidFill>
          <a:ln w="50800" cap="rnd">
            <a:solidFill>
              <a:srgbClr val="0081F6"/>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98C45CEB-DBD3-457A-82B3-D10439A3DC43}"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1"/>
          </a:solidFill>
          <a:ln w="508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63500" cap="rnd">
            <a:solidFill>
              <a:srgbClr val="FF480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3943143F-C1F3-43FF-8166-4EFEC5939C18}"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chemeClr val="accent1"/>
          </a:solidFill>
          <a:ln w="50800" cap="rnd">
            <a:solidFill>
              <a:srgbClr val="CDE7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2A3DC7B7-7BE5-45EB-AEE2-AAD1D8542466}"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7"/>
        <c:spPr>
          <a:solidFill>
            <a:schemeClr val="accent1"/>
          </a:solidFill>
          <a:ln w="50800" cap="rnd">
            <a:solidFill>
              <a:srgbClr val="61B4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3E0C856F-B4A7-474C-AC99-1BDC44F4FB3E}"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spPr>
          <a:solidFill>
            <a:schemeClr val="accent1"/>
          </a:solidFill>
          <a:ln w="50800" cap="rnd">
            <a:solidFill>
              <a:srgbClr val="0588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B1E3807A-D67F-4609-883C-E0E5D8DE4489}"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9"/>
        <c:spPr>
          <a:solidFill>
            <a:schemeClr val="accent1"/>
          </a:solidFill>
          <a:ln w="50800" cap="rnd">
            <a:solidFill>
              <a:srgbClr val="0588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B0186B7A-E4D9-4CBC-97AC-301EB25AB10D}"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solidFill>
            <a:schemeClr val="accent1"/>
          </a:solidFill>
          <a:ln w="50800" cap="rnd">
            <a:solidFill>
              <a:srgbClr val="0081F6"/>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98C45CEB-DBD3-457A-82B3-D10439A3DC43}"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1"/>
        <c:spPr>
          <a:solidFill>
            <a:schemeClr val="accent1"/>
          </a:solidFill>
          <a:ln w="508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63500" cap="rnd">
            <a:solidFill>
              <a:srgbClr val="FF480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3943143F-C1F3-43FF-8166-4EFEC5939C18}"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3"/>
        <c:spPr>
          <a:solidFill>
            <a:schemeClr val="accent1"/>
          </a:solidFill>
          <a:ln w="50800" cap="rnd">
            <a:solidFill>
              <a:srgbClr val="CDE7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2A3DC7B7-7BE5-45EB-AEE2-AAD1D8542466}"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4"/>
        <c:spPr>
          <a:solidFill>
            <a:schemeClr val="accent1"/>
          </a:solidFill>
          <a:ln w="50800" cap="rnd">
            <a:solidFill>
              <a:srgbClr val="61B4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3E0C856F-B4A7-474C-AC99-1BDC44F4FB3E}"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5"/>
        <c:spPr>
          <a:solidFill>
            <a:schemeClr val="accent1"/>
          </a:solidFill>
          <a:ln w="50800" cap="rnd">
            <a:solidFill>
              <a:srgbClr val="0588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B1E3807A-D67F-4609-883C-E0E5D8DE4489}"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6"/>
        <c:spPr>
          <a:solidFill>
            <a:schemeClr val="accent1"/>
          </a:solidFill>
          <a:ln w="50800" cap="rnd">
            <a:solidFill>
              <a:srgbClr val="0588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B0186B7A-E4D9-4CBC-97AC-301EB25AB10D}"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7"/>
        <c:spPr>
          <a:solidFill>
            <a:schemeClr val="accent1"/>
          </a:solidFill>
          <a:ln w="50800" cap="rnd">
            <a:solidFill>
              <a:srgbClr val="0081F6"/>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98C45CEB-DBD3-457A-82B3-D10439A3DC43}"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8"/>
        <c:spPr>
          <a:ln w="508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ln w="63500" cap="rnd">
            <a:solidFill>
              <a:srgbClr val="FF480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3943143F-C1F3-43FF-8166-4EFEC5939C18}" type="VALUE">
                  <a:rPr lang="en-US" b="1"/>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0"/>
        <c:spPr>
          <a:ln w="50800" cap="rnd">
            <a:solidFill>
              <a:srgbClr val="CDE7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2A3DC7B7-7BE5-45EB-AEE2-AAD1D8542466}" type="VALUE">
                  <a:rPr lang="en-US" b="1"/>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1"/>
        <c:spPr>
          <a:ln w="50800" cap="rnd">
            <a:solidFill>
              <a:srgbClr val="61B4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3E0C856F-B4A7-474C-AC99-1BDC44F4FB3E}" type="VALUE">
                  <a:rPr lang="en-US" b="1"/>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2"/>
        <c:spPr>
          <a:ln w="50800" cap="rnd">
            <a:solidFill>
              <a:srgbClr val="0588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B1E3807A-D67F-4609-883C-E0E5D8DE4489}" type="VALUE">
                  <a:rPr lang="en-US" b="1"/>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3"/>
        <c:spPr>
          <a:ln w="50800" cap="rnd">
            <a:solidFill>
              <a:srgbClr val="0588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B0186B7A-E4D9-4CBC-97AC-301EB25AB10D}" type="VALUE">
                  <a:rPr lang="en-US" b="1"/>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4"/>
        <c:spPr>
          <a:ln w="50800" cap="rnd">
            <a:solidFill>
              <a:srgbClr val="0081F6"/>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98C45CEB-DBD3-457A-82B3-D10439A3DC43}" type="VALUE">
                  <a:rPr lang="en-US" b="1"/>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lineChart>
        <c:grouping val="standard"/>
        <c:varyColors val="1"/>
        <c:ser>
          <c:idx val="0"/>
          <c:order val="0"/>
          <c:tx>
            <c:strRef>
              <c:f>'Pivot tables'!$B$10</c:f>
              <c:strCache>
                <c:ptCount val="1"/>
                <c:pt idx="0">
                  <c:v>Total</c:v>
                </c:pt>
              </c:strCache>
            </c:strRef>
          </c:tx>
          <c:spPr>
            <a:ln w="50800"/>
          </c:spPr>
          <c:marker>
            <c:symbol val="none"/>
          </c:marker>
          <c:dPt>
            <c:idx val="0"/>
            <c:marker>
              <c:symbol val="none"/>
            </c:marker>
            <c:bubble3D val="0"/>
            <c:spPr>
              <a:ln w="63500" cap="rnd">
                <a:solidFill>
                  <a:srgbClr val="FF480F"/>
                </a:solidFill>
                <a:round/>
              </a:ln>
              <a:effectLst/>
            </c:spPr>
            <c:extLst>
              <c:ext xmlns:c16="http://schemas.microsoft.com/office/drawing/2014/chart" uri="{C3380CC4-5D6E-409C-BE32-E72D297353CC}">
                <c16:uniqueId val="{00000001-AA07-44C9-BACD-83C94899B35A}"/>
              </c:ext>
            </c:extLst>
          </c:dPt>
          <c:dPt>
            <c:idx val="1"/>
            <c:marker>
              <c:symbol val="none"/>
            </c:marker>
            <c:bubble3D val="0"/>
            <c:spPr>
              <a:ln w="50800" cap="rnd">
                <a:solidFill>
                  <a:srgbClr val="CDE7FF"/>
                </a:solidFill>
                <a:round/>
              </a:ln>
              <a:effectLst/>
            </c:spPr>
            <c:extLst>
              <c:ext xmlns:c16="http://schemas.microsoft.com/office/drawing/2014/chart" uri="{C3380CC4-5D6E-409C-BE32-E72D297353CC}">
                <c16:uniqueId val="{00000003-AA07-44C9-BACD-83C94899B35A}"/>
              </c:ext>
            </c:extLst>
          </c:dPt>
          <c:dPt>
            <c:idx val="2"/>
            <c:marker>
              <c:symbol val="none"/>
            </c:marker>
            <c:bubble3D val="0"/>
            <c:spPr>
              <a:ln w="50800" cap="rnd">
                <a:solidFill>
                  <a:srgbClr val="61B4FF"/>
                </a:solidFill>
                <a:round/>
              </a:ln>
              <a:effectLst/>
            </c:spPr>
            <c:extLst>
              <c:ext xmlns:c16="http://schemas.microsoft.com/office/drawing/2014/chart" uri="{C3380CC4-5D6E-409C-BE32-E72D297353CC}">
                <c16:uniqueId val="{00000005-AA07-44C9-BACD-83C94899B35A}"/>
              </c:ext>
            </c:extLst>
          </c:dPt>
          <c:dPt>
            <c:idx val="3"/>
            <c:marker>
              <c:symbol val="none"/>
            </c:marker>
            <c:bubble3D val="0"/>
            <c:spPr>
              <a:ln w="50800" cap="rnd">
                <a:solidFill>
                  <a:srgbClr val="0588FF"/>
                </a:solidFill>
                <a:round/>
              </a:ln>
              <a:effectLst/>
            </c:spPr>
            <c:extLst>
              <c:ext xmlns:c16="http://schemas.microsoft.com/office/drawing/2014/chart" uri="{C3380CC4-5D6E-409C-BE32-E72D297353CC}">
                <c16:uniqueId val="{00000007-AA07-44C9-BACD-83C94899B35A}"/>
              </c:ext>
            </c:extLst>
          </c:dPt>
          <c:dPt>
            <c:idx val="4"/>
            <c:marker>
              <c:symbol val="none"/>
            </c:marker>
            <c:bubble3D val="0"/>
            <c:spPr>
              <a:ln w="50800" cap="rnd">
                <a:solidFill>
                  <a:srgbClr val="0588FF"/>
                </a:solidFill>
                <a:round/>
              </a:ln>
              <a:effectLst/>
            </c:spPr>
            <c:extLst>
              <c:ext xmlns:c16="http://schemas.microsoft.com/office/drawing/2014/chart" uri="{C3380CC4-5D6E-409C-BE32-E72D297353CC}">
                <c16:uniqueId val="{00000009-AA07-44C9-BACD-83C94899B35A}"/>
              </c:ext>
            </c:extLst>
          </c:dPt>
          <c:dPt>
            <c:idx val="5"/>
            <c:marker>
              <c:symbol val="none"/>
            </c:marker>
            <c:bubble3D val="0"/>
            <c:spPr>
              <a:ln w="50800" cap="rnd">
                <a:solidFill>
                  <a:srgbClr val="0081F6"/>
                </a:solidFill>
                <a:round/>
              </a:ln>
              <a:effectLst/>
            </c:spPr>
            <c:extLst>
              <c:ext xmlns:c16="http://schemas.microsoft.com/office/drawing/2014/chart" uri="{C3380CC4-5D6E-409C-BE32-E72D297353CC}">
                <c16:uniqueId val="{0000000B-AA07-44C9-BACD-83C94899B35A}"/>
              </c:ext>
            </c:extLst>
          </c:dPt>
          <c:dLbls>
            <c:dLbl>
              <c:idx val="0"/>
              <c:tx>
                <c:rich>
                  <a:bodyPr/>
                  <a:lstStyle/>
                  <a:p>
                    <a:fld id="{3943143F-C1F3-43FF-8166-4EFEC5939C18}" type="VALUE">
                      <a:rPr lang="en-US" b="1"/>
                      <a:pPr/>
                      <a:t>[VALUE]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A07-44C9-BACD-83C94899B35A}"/>
                </c:ext>
              </c:extLst>
            </c:dLbl>
            <c:dLbl>
              <c:idx val="1"/>
              <c:tx>
                <c:rich>
                  <a:bodyPr/>
                  <a:lstStyle/>
                  <a:p>
                    <a:fld id="{2A3DC7B7-7BE5-45EB-AEE2-AAD1D8542466}" type="VALUE">
                      <a:rPr lang="en-US" b="1"/>
                      <a:pPr/>
                      <a:t>[VALUE]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AA07-44C9-BACD-83C94899B35A}"/>
                </c:ext>
              </c:extLst>
            </c:dLbl>
            <c:dLbl>
              <c:idx val="2"/>
              <c:tx>
                <c:rich>
                  <a:bodyPr/>
                  <a:lstStyle/>
                  <a:p>
                    <a:fld id="{3E0C856F-B4A7-474C-AC99-1BDC44F4FB3E}" type="VALUE">
                      <a:rPr lang="en-US" b="1"/>
                      <a:pPr/>
                      <a:t>[VALUE]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AA07-44C9-BACD-83C94899B35A}"/>
                </c:ext>
              </c:extLst>
            </c:dLbl>
            <c:dLbl>
              <c:idx val="3"/>
              <c:tx>
                <c:rich>
                  <a:bodyPr/>
                  <a:lstStyle/>
                  <a:p>
                    <a:fld id="{B1E3807A-D67F-4609-883C-E0E5D8DE4489}" type="VALUE">
                      <a:rPr lang="en-US" b="1"/>
                      <a:pPr/>
                      <a:t>[VALUE]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AA07-44C9-BACD-83C94899B35A}"/>
                </c:ext>
              </c:extLst>
            </c:dLbl>
            <c:dLbl>
              <c:idx val="4"/>
              <c:tx>
                <c:rich>
                  <a:bodyPr/>
                  <a:lstStyle/>
                  <a:p>
                    <a:fld id="{B0186B7A-E4D9-4CBC-97AC-301EB25AB10D}" type="VALUE">
                      <a:rPr lang="en-US" b="1"/>
                      <a:pPr/>
                      <a:t>[VALUE]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AA07-44C9-BACD-83C94899B35A}"/>
                </c:ext>
              </c:extLst>
            </c:dLbl>
            <c:dLbl>
              <c:idx val="5"/>
              <c:tx>
                <c:rich>
                  <a:bodyPr/>
                  <a:lstStyle/>
                  <a:p>
                    <a:fld id="{98C45CEB-DBD3-457A-82B3-D10439A3DC43}" type="VALUE">
                      <a:rPr lang="en-US" b="1"/>
                      <a:pPr/>
                      <a:t>[VALUE]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AA07-44C9-BACD-83C94899B35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25400" cap="rnd">
                <a:solidFill>
                  <a:srgbClr val="FF480F"/>
                </a:solidFill>
                <a:prstDash val="solid"/>
              </a:ln>
              <a:effectLst/>
            </c:spPr>
            <c:trendlineType val="power"/>
            <c:dispRSqr val="0"/>
            <c:dispEq val="0"/>
          </c:trendline>
          <c:cat>
            <c:strRef>
              <c:f>'Pivot tables'!$A$11:$A$17</c:f>
              <c:strCache>
                <c:ptCount val="6"/>
                <c:pt idx="0">
                  <c:v>January</c:v>
                </c:pt>
                <c:pt idx="1">
                  <c:v>February</c:v>
                </c:pt>
                <c:pt idx="2">
                  <c:v>March</c:v>
                </c:pt>
                <c:pt idx="3">
                  <c:v>April</c:v>
                </c:pt>
                <c:pt idx="4">
                  <c:v>May</c:v>
                </c:pt>
                <c:pt idx="5">
                  <c:v>June</c:v>
                </c:pt>
              </c:strCache>
            </c:strRef>
          </c:cat>
          <c:val>
            <c:numRef>
              <c:f>'Pivot tables'!$B$11:$B$17</c:f>
              <c:numCache>
                <c:formatCode>General</c:formatCode>
                <c:ptCount val="6"/>
                <c:pt idx="0">
                  <c:v>42130</c:v>
                </c:pt>
                <c:pt idx="1">
                  <c:v>21101</c:v>
                </c:pt>
                <c:pt idx="2">
                  <c:v>18666</c:v>
                </c:pt>
                <c:pt idx="3">
                  <c:v>7129</c:v>
                </c:pt>
                <c:pt idx="4">
                  <c:v>17230</c:v>
                </c:pt>
                <c:pt idx="5">
                  <c:v>8967</c:v>
                </c:pt>
              </c:numCache>
            </c:numRef>
          </c:val>
          <c:smooth val="0"/>
          <c:extLst>
            <c:ext xmlns:c16="http://schemas.microsoft.com/office/drawing/2014/chart" uri="{C3380CC4-5D6E-409C-BE32-E72D297353CC}">
              <c16:uniqueId val="{0000000D-AA07-44C9-BACD-83C94899B35A}"/>
            </c:ext>
          </c:extLst>
        </c:ser>
        <c:dLbls>
          <c:dLblPos val="t"/>
          <c:showLegendKey val="0"/>
          <c:showVal val="1"/>
          <c:showCatName val="0"/>
          <c:showSerName val="0"/>
          <c:showPercent val="0"/>
          <c:showBubbleSize val="0"/>
        </c:dLbls>
        <c:smooth val="0"/>
        <c:axId val="1633039119"/>
        <c:axId val="1621592767"/>
      </c:lineChart>
      <c:catAx>
        <c:axId val="1633039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21592767"/>
        <c:crosses val="autoZero"/>
        <c:auto val="1"/>
        <c:lblAlgn val="ctr"/>
        <c:lblOffset val="100"/>
        <c:noMultiLvlLbl val="0"/>
      </c:catAx>
      <c:valAx>
        <c:axId val="1621592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33039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00B0F0"/>
        </a:gs>
        <a:gs pos="46000">
          <a:schemeClr val="tx2">
            <a:lumMod val="75000"/>
          </a:schemeClr>
        </a:gs>
        <a:gs pos="100000">
          <a:schemeClr val="tx2">
            <a:lumMod val="50000"/>
          </a:schemeClr>
        </a:gs>
      </a:gsLst>
      <a:path path="rect">
        <a:fillToRect l="100000" t="10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[Month1_Week4_Practice(AutoRecovered).xlsx]Sheet1!PivotTable1</c:name>
    <c:fmtId val="5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Category</a:t>
            </a:r>
            <a:r>
              <a:rPr lang="en-US" baseline="0">
                <a:solidFill>
                  <a:schemeClr val="bg1"/>
                </a:solidFill>
              </a:rPr>
              <a:t> Growth By Revenue</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1E8FF"/>
          </a:solidFill>
          <a:ln w="44450" cap="rnd">
            <a:solidFill>
              <a:srgbClr val="D1E8FF"/>
            </a:solidFill>
            <a:bevel/>
          </a:ln>
          <a:effectLst/>
          <a:sp3d contourW="44450">
            <a:contourClr>
              <a:srgbClr val="D1E8FF"/>
            </a:contourClr>
          </a:sp3d>
        </c:spPr>
      </c:pivotFmt>
      <c:pivotFmt>
        <c:idx val="2"/>
        <c:spPr>
          <a:solidFill>
            <a:srgbClr val="1960FF"/>
          </a:solidFill>
          <a:ln w="28575" cap="rnd" cmpd="sng">
            <a:solidFill>
              <a:srgbClr val="1960FF"/>
            </a:solidFill>
            <a:bevel/>
          </a:ln>
          <a:effectLst/>
          <a:sp3d contourW="28575">
            <a:contourClr>
              <a:srgbClr val="1960FF"/>
            </a:contourClr>
          </a:sp3d>
        </c:spPr>
      </c:pivotFmt>
      <c:pivotFmt>
        <c:idx val="3"/>
        <c:spPr>
          <a:solidFill>
            <a:srgbClr val="0036B0"/>
          </a:solidFill>
          <a:ln w="15875" cap="rnd">
            <a:solidFill>
              <a:srgbClr val="0036B0"/>
            </a:solidFill>
            <a:bevel/>
          </a:ln>
          <a:effectLst/>
          <a:sp3d contourW="15875">
            <a:contourClr>
              <a:srgbClr val="0036B0"/>
            </a:contourClr>
          </a:sp3d>
        </c:spPr>
      </c:pivotFmt>
      <c:pivotFmt>
        <c:idx val="4"/>
        <c:spPr>
          <a:solidFill>
            <a:srgbClr val="5D8FFF"/>
          </a:solidFill>
          <a:ln w="31750" cap="rnd">
            <a:solidFill>
              <a:srgbClr val="5D8FFF"/>
            </a:solidFill>
            <a:bevel/>
          </a:ln>
          <a:effectLst/>
          <a:sp3d contourW="31750">
            <a:contourClr>
              <a:srgbClr val="5D8FFF"/>
            </a:contourClr>
          </a:sp3d>
        </c:spPr>
      </c:pivotFmt>
      <c:pivotFmt>
        <c:idx val="5"/>
        <c:spPr>
          <a:solidFill>
            <a:srgbClr val="9FBDFF"/>
          </a:solidFill>
          <a:ln w="31750" cap="rnd">
            <a:solidFill>
              <a:srgbClr val="9FBDFF"/>
            </a:solidFill>
            <a:bevel/>
          </a:ln>
          <a:effectLst/>
          <a:sp3d contourW="31750">
            <a:contourClr>
              <a:srgbClr val="9FBDFF"/>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1E8FF"/>
          </a:solidFill>
          <a:ln w="44450" cap="rnd">
            <a:solidFill>
              <a:srgbClr val="D1E8FF"/>
            </a:solidFill>
            <a:bevel/>
          </a:ln>
          <a:effectLst/>
          <a:sp3d contourW="44450">
            <a:contourClr>
              <a:srgbClr val="D1E8FF"/>
            </a:contourClr>
          </a:sp3d>
        </c:spPr>
      </c:pivotFmt>
      <c:pivotFmt>
        <c:idx val="8"/>
        <c:spPr>
          <a:solidFill>
            <a:srgbClr val="9FBDFF"/>
          </a:solidFill>
          <a:ln w="31750" cap="rnd">
            <a:solidFill>
              <a:srgbClr val="9FBDFF"/>
            </a:solidFill>
            <a:bevel/>
          </a:ln>
          <a:effectLst/>
          <a:sp3d contourW="31750">
            <a:contourClr>
              <a:srgbClr val="9FBDFF"/>
            </a:contourClr>
          </a:sp3d>
        </c:spPr>
      </c:pivotFmt>
      <c:pivotFmt>
        <c:idx val="9"/>
        <c:spPr>
          <a:solidFill>
            <a:srgbClr val="5D8FFF"/>
          </a:solidFill>
          <a:ln w="31750" cap="rnd">
            <a:solidFill>
              <a:srgbClr val="5D8FFF"/>
            </a:solidFill>
            <a:bevel/>
          </a:ln>
          <a:effectLst/>
          <a:sp3d contourW="31750">
            <a:contourClr>
              <a:srgbClr val="5D8FFF"/>
            </a:contourClr>
          </a:sp3d>
        </c:spPr>
      </c:pivotFmt>
      <c:pivotFmt>
        <c:idx val="10"/>
        <c:spPr>
          <a:solidFill>
            <a:srgbClr val="1960FF"/>
          </a:solidFill>
          <a:ln w="28575" cap="rnd" cmpd="sng">
            <a:solidFill>
              <a:srgbClr val="1960FF"/>
            </a:solidFill>
            <a:bevel/>
          </a:ln>
          <a:effectLst/>
          <a:sp3d contourW="28575">
            <a:contourClr>
              <a:srgbClr val="1960FF"/>
            </a:contourClr>
          </a:sp3d>
        </c:spPr>
      </c:pivotFmt>
      <c:pivotFmt>
        <c:idx val="11"/>
        <c:spPr>
          <a:solidFill>
            <a:srgbClr val="0036B0"/>
          </a:solidFill>
          <a:ln w="15875" cap="rnd">
            <a:solidFill>
              <a:srgbClr val="0036B0"/>
            </a:solidFill>
            <a:bevel/>
          </a:ln>
          <a:effectLst/>
          <a:sp3d contourW="15875">
            <a:contourClr>
              <a:srgbClr val="0036B0"/>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D1E8FF"/>
          </a:solidFill>
          <a:ln w="44450" cap="rnd">
            <a:solidFill>
              <a:srgbClr val="D1E8FF"/>
            </a:solidFill>
            <a:bevel/>
          </a:ln>
          <a:effectLst/>
          <a:sp3d contourW="44450">
            <a:contourClr>
              <a:srgbClr val="D1E8FF"/>
            </a:contourClr>
          </a:sp3d>
        </c:spPr>
      </c:pivotFmt>
      <c:pivotFmt>
        <c:idx val="14"/>
        <c:spPr>
          <a:solidFill>
            <a:srgbClr val="9FBDFF"/>
          </a:solidFill>
          <a:ln w="31750" cap="rnd">
            <a:solidFill>
              <a:srgbClr val="9FBDFF"/>
            </a:solidFill>
            <a:bevel/>
          </a:ln>
          <a:effectLst/>
          <a:sp3d contourW="31750">
            <a:contourClr>
              <a:srgbClr val="9FBDFF"/>
            </a:contourClr>
          </a:sp3d>
        </c:spPr>
      </c:pivotFmt>
      <c:pivotFmt>
        <c:idx val="15"/>
        <c:spPr>
          <a:solidFill>
            <a:srgbClr val="5D8FFF"/>
          </a:solidFill>
          <a:ln w="31750" cap="rnd">
            <a:solidFill>
              <a:srgbClr val="5D8FFF"/>
            </a:solidFill>
            <a:bevel/>
          </a:ln>
          <a:effectLst/>
          <a:sp3d contourW="31750">
            <a:contourClr>
              <a:srgbClr val="5D8FFF"/>
            </a:contourClr>
          </a:sp3d>
        </c:spPr>
      </c:pivotFmt>
      <c:pivotFmt>
        <c:idx val="16"/>
        <c:spPr>
          <a:solidFill>
            <a:srgbClr val="1960FF"/>
          </a:solidFill>
          <a:ln w="28575" cap="rnd" cmpd="sng">
            <a:solidFill>
              <a:srgbClr val="1960FF"/>
            </a:solidFill>
            <a:bevel/>
          </a:ln>
          <a:effectLst/>
          <a:sp3d contourW="28575">
            <a:contourClr>
              <a:srgbClr val="1960FF"/>
            </a:contourClr>
          </a:sp3d>
        </c:spPr>
      </c:pivotFmt>
      <c:pivotFmt>
        <c:idx val="17"/>
        <c:spPr>
          <a:solidFill>
            <a:srgbClr val="0036B0"/>
          </a:solidFill>
          <a:ln w="15875" cap="rnd">
            <a:solidFill>
              <a:srgbClr val="0036B0"/>
            </a:solidFill>
            <a:bevel/>
          </a:ln>
          <a:effectLst/>
          <a:sp3d contourW="15875">
            <a:contourClr>
              <a:srgbClr val="0036B0"/>
            </a:contourClr>
          </a:sp3d>
        </c:spPr>
      </c:pivotFmt>
      <c:pivotFmt>
        <c:idx val="1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D1E8FF"/>
          </a:solidFill>
          <a:ln w="44450" cap="rnd">
            <a:solidFill>
              <a:srgbClr val="D1E8FF"/>
            </a:solidFill>
            <a:bevel/>
          </a:ln>
          <a:effectLst/>
          <a:sp3d contourW="44450">
            <a:contourClr>
              <a:srgbClr val="D1E8FF"/>
            </a:contourClr>
          </a:sp3d>
        </c:spPr>
      </c:pivotFmt>
      <c:pivotFmt>
        <c:idx val="20"/>
        <c:spPr>
          <a:solidFill>
            <a:srgbClr val="9FBDFF"/>
          </a:solidFill>
          <a:ln w="31750" cap="rnd">
            <a:solidFill>
              <a:srgbClr val="9FBDFF"/>
            </a:solidFill>
            <a:bevel/>
          </a:ln>
          <a:effectLst/>
          <a:sp3d contourW="31750">
            <a:contourClr>
              <a:srgbClr val="9FBDFF"/>
            </a:contourClr>
          </a:sp3d>
        </c:spPr>
      </c:pivotFmt>
      <c:pivotFmt>
        <c:idx val="21"/>
        <c:spPr>
          <a:solidFill>
            <a:srgbClr val="5D8FFF"/>
          </a:solidFill>
          <a:ln w="31750" cap="rnd">
            <a:solidFill>
              <a:srgbClr val="5D8FFF"/>
            </a:solidFill>
            <a:bevel/>
          </a:ln>
          <a:effectLst/>
          <a:sp3d contourW="31750">
            <a:contourClr>
              <a:srgbClr val="5D8FFF"/>
            </a:contourClr>
          </a:sp3d>
        </c:spPr>
      </c:pivotFmt>
      <c:pivotFmt>
        <c:idx val="22"/>
        <c:spPr>
          <a:solidFill>
            <a:srgbClr val="1960FF"/>
          </a:solidFill>
          <a:ln w="28575" cap="rnd" cmpd="sng">
            <a:solidFill>
              <a:srgbClr val="1960FF"/>
            </a:solidFill>
            <a:bevel/>
          </a:ln>
          <a:effectLst/>
          <a:sp3d contourW="28575">
            <a:contourClr>
              <a:srgbClr val="1960FF"/>
            </a:contourClr>
          </a:sp3d>
        </c:spPr>
      </c:pivotFmt>
      <c:pivotFmt>
        <c:idx val="23"/>
        <c:spPr>
          <a:solidFill>
            <a:srgbClr val="0036B0"/>
          </a:solidFill>
          <a:ln w="15875" cap="rnd">
            <a:solidFill>
              <a:srgbClr val="0036B0"/>
            </a:solidFill>
            <a:bevel/>
          </a:ln>
          <a:effectLst/>
          <a:sp3d contourW="15875">
            <a:contourClr>
              <a:srgbClr val="0036B0"/>
            </a:contourClr>
          </a:sp3d>
        </c:spPr>
      </c:pivotFmt>
      <c:pivotFmt>
        <c:idx val="2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D1E8FF"/>
          </a:solidFill>
          <a:ln w="44450" cap="rnd">
            <a:solidFill>
              <a:srgbClr val="D1E8FF"/>
            </a:solidFill>
            <a:bevel/>
          </a:ln>
          <a:effectLst/>
          <a:sp3d contourW="44450">
            <a:contourClr>
              <a:srgbClr val="D1E8FF"/>
            </a:contourClr>
          </a:sp3d>
        </c:spPr>
      </c:pivotFmt>
      <c:pivotFmt>
        <c:idx val="26"/>
        <c:spPr>
          <a:solidFill>
            <a:srgbClr val="9FBDFF"/>
          </a:solidFill>
          <a:ln w="31750" cap="rnd">
            <a:solidFill>
              <a:srgbClr val="9FBDFF"/>
            </a:solidFill>
            <a:bevel/>
          </a:ln>
          <a:effectLst/>
          <a:sp3d contourW="31750">
            <a:contourClr>
              <a:srgbClr val="9FBDFF"/>
            </a:contourClr>
          </a:sp3d>
        </c:spPr>
      </c:pivotFmt>
      <c:pivotFmt>
        <c:idx val="27"/>
        <c:spPr>
          <a:solidFill>
            <a:srgbClr val="5D8FFF"/>
          </a:solidFill>
          <a:ln w="31750" cap="rnd">
            <a:solidFill>
              <a:srgbClr val="5D8FFF"/>
            </a:solidFill>
            <a:bevel/>
          </a:ln>
          <a:effectLst/>
          <a:sp3d contourW="31750">
            <a:contourClr>
              <a:srgbClr val="5D8FFF"/>
            </a:contourClr>
          </a:sp3d>
        </c:spPr>
      </c:pivotFmt>
      <c:pivotFmt>
        <c:idx val="28"/>
        <c:spPr>
          <a:solidFill>
            <a:srgbClr val="1960FF"/>
          </a:solidFill>
          <a:ln w="28575" cap="rnd" cmpd="sng">
            <a:solidFill>
              <a:srgbClr val="1960FF"/>
            </a:solidFill>
            <a:bevel/>
          </a:ln>
          <a:effectLst/>
          <a:sp3d contourW="28575">
            <a:contourClr>
              <a:srgbClr val="1960FF"/>
            </a:contourClr>
          </a:sp3d>
        </c:spPr>
      </c:pivotFmt>
      <c:pivotFmt>
        <c:idx val="29"/>
        <c:spPr>
          <a:solidFill>
            <a:srgbClr val="0036B0"/>
          </a:solidFill>
          <a:ln w="15875" cap="rnd">
            <a:solidFill>
              <a:srgbClr val="0036B0"/>
            </a:solidFill>
            <a:bevel/>
          </a:ln>
          <a:effectLst/>
          <a:sp3d contourW="15875">
            <a:contourClr>
              <a:srgbClr val="0036B0"/>
            </a:contourClr>
          </a:sp3d>
        </c:spPr>
      </c:pivotFmt>
      <c:pivotFmt>
        <c:idx val="3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18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Sheet1!$B$3</c:f>
              <c:strCache>
                <c:ptCount val="1"/>
                <c:pt idx="0">
                  <c:v>Total</c:v>
                </c:pt>
              </c:strCache>
            </c:strRef>
          </c:tx>
          <c:explosion val="6"/>
          <c:dPt>
            <c:idx val="0"/>
            <c:bubble3D val="0"/>
            <c:spPr>
              <a:solidFill>
                <a:srgbClr val="D1E8FF"/>
              </a:solidFill>
              <a:ln w="44450" cap="rnd">
                <a:solidFill>
                  <a:srgbClr val="D1E8FF"/>
                </a:solidFill>
                <a:bevel/>
              </a:ln>
              <a:effectLst/>
              <a:sp3d contourW="44450">
                <a:contourClr>
                  <a:srgbClr val="D1E8FF"/>
                </a:contourClr>
              </a:sp3d>
            </c:spPr>
            <c:extLst>
              <c:ext xmlns:c16="http://schemas.microsoft.com/office/drawing/2014/chart" uri="{C3380CC4-5D6E-409C-BE32-E72D297353CC}">
                <c16:uniqueId val="{00000001-8280-416A-8733-8E22198AA52A}"/>
              </c:ext>
            </c:extLst>
          </c:dPt>
          <c:dPt>
            <c:idx val="1"/>
            <c:bubble3D val="0"/>
            <c:spPr>
              <a:solidFill>
                <a:srgbClr val="9FBDFF"/>
              </a:solidFill>
              <a:ln w="31750" cap="rnd">
                <a:solidFill>
                  <a:srgbClr val="9FBDFF"/>
                </a:solidFill>
                <a:bevel/>
              </a:ln>
              <a:effectLst/>
              <a:sp3d contourW="31750">
                <a:contourClr>
                  <a:srgbClr val="9FBDFF"/>
                </a:contourClr>
              </a:sp3d>
            </c:spPr>
            <c:extLst>
              <c:ext xmlns:c16="http://schemas.microsoft.com/office/drawing/2014/chart" uri="{C3380CC4-5D6E-409C-BE32-E72D297353CC}">
                <c16:uniqueId val="{00000003-8280-416A-8733-8E22198AA52A}"/>
              </c:ext>
            </c:extLst>
          </c:dPt>
          <c:dPt>
            <c:idx val="2"/>
            <c:bubble3D val="0"/>
            <c:spPr>
              <a:solidFill>
                <a:srgbClr val="5D8FFF"/>
              </a:solidFill>
              <a:ln w="31750" cap="rnd">
                <a:solidFill>
                  <a:srgbClr val="5D8FFF"/>
                </a:solidFill>
                <a:bevel/>
              </a:ln>
              <a:effectLst/>
              <a:sp3d contourW="31750">
                <a:contourClr>
                  <a:srgbClr val="5D8FFF"/>
                </a:contourClr>
              </a:sp3d>
            </c:spPr>
            <c:extLst>
              <c:ext xmlns:c16="http://schemas.microsoft.com/office/drawing/2014/chart" uri="{C3380CC4-5D6E-409C-BE32-E72D297353CC}">
                <c16:uniqueId val="{00000005-8280-416A-8733-8E22198AA52A}"/>
              </c:ext>
            </c:extLst>
          </c:dPt>
          <c:dPt>
            <c:idx val="3"/>
            <c:bubble3D val="0"/>
            <c:spPr>
              <a:solidFill>
                <a:srgbClr val="1960FF"/>
              </a:solidFill>
              <a:ln w="28575" cap="rnd" cmpd="sng">
                <a:solidFill>
                  <a:srgbClr val="1960FF"/>
                </a:solidFill>
                <a:bevel/>
              </a:ln>
              <a:effectLst/>
              <a:sp3d contourW="28575">
                <a:contourClr>
                  <a:srgbClr val="1960FF"/>
                </a:contourClr>
              </a:sp3d>
            </c:spPr>
            <c:extLst>
              <c:ext xmlns:c16="http://schemas.microsoft.com/office/drawing/2014/chart" uri="{C3380CC4-5D6E-409C-BE32-E72D297353CC}">
                <c16:uniqueId val="{00000007-8280-416A-8733-8E22198AA52A}"/>
              </c:ext>
            </c:extLst>
          </c:dPt>
          <c:dPt>
            <c:idx val="4"/>
            <c:bubble3D val="0"/>
            <c:spPr>
              <a:solidFill>
                <a:srgbClr val="0036B0"/>
              </a:solidFill>
              <a:ln w="15875" cap="rnd">
                <a:solidFill>
                  <a:srgbClr val="0036B0"/>
                </a:solidFill>
                <a:bevel/>
              </a:ln>
              <a:effectLst/>
              <a:sp3d contourW="15875">
                <a:contourClr>
                  <a:srgbClr val="0036B0"/>
                </a:contourClr>
              </a:sp3d>
            </c:spPr>
            <c:extLst>
              <c:ext xmlns:c16="http://schemas.microsoft.com/office/drawing/2014/chart" uri="{C3380CC4-5D6E-409C-BE32-E72D297353CC}">
                <c16:uniqueId val="{00000009-8280-416A-8733-8E22198AA52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Sheet1!$A$4:$A$9</c:f>
              <c:strCache>
                <c:ptCount val="5"/>
                <c:pt idx="0">
                  <c:v>Sports</c:v>
                </c:pt>
                <c:pt idx="1">
                  <c:v>Electronics</c:v>
                </c:pt>
                <c:pt idx="2">
                  <c:v>Home Appliances</c:v>
                </c:pt>
                <c:pt idx="3">
                  <c:v>Clothing</c:v>
                </c:pt>
                <c:pt idx="4">
                  <c:v>Beauty</c:v>
                </c:pt>
              </c:strCache>
            </c:strRef>
          </c:cat>
          <c:val>
            <c:numRef>
              <c:f>Sheet1!$B$4:$B$9</c:f>
              <c:numCache>
                <c:formatCode>General</c:formatCode>
                <c:ptCount val="5"/>
                <c:pt idx="0">
                  <c:v>47108</c:v>
                </c:pt>
                <c:pt idx="1">
                  <c:v>38960</c:v>
                </c:pt>
                <c:pt idx="2">
                  <c:v>19170</c:v>
                </c:pt>
                <c:pt idx="3">
                  <c:v>6694</c:v>
                </c:pt>
                <c:pt idx="4">
                  <c:v>3291</c:v>
                </c:pt>
              </c:numCache>
            </c:numRef>
          </c:val>
          <c:extLst>
            <c:ext xmlns:c16="http://schemas.microsoft.com/office/drawing/2014/chart" uri="{C3380CC4-5D6E-409C-BE32-E72D297353CC}">
              <c16:uniqueId val="{0000000A-8280-416A-8733-8E22198AA52A}"/>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5253674540682414"/>
          <c:y val="0.33144648585593467"/>
          <c:w val="0.22417356024059537"/>
          <c:h val="0.457894065325167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00B0F0"/>
        </a:gs>
        <a:gs pos="46000">
          <a:schemeClr val="tx2">
            <a:lumMod val="75000"/>
          </a:schemeClr>
        </a:gs>
        <a:gs pos="100000">
          <a:schemeClr val="tx2">
            <a:lumMod val="50000"/>
          </a:schemeClr>
        </a:gs>
      </a:gsLst>
      <a:path path="rect">
        <a:fillToRect l="100000" t="10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[Month1_Week4_Practice(AutoRecovered).xlsx]Dashboard 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Category</a:t>
            </a:r>
            <a:r>
              <a:rPr lang="en-US" baseline="0">
                <a:solidFill>
                  <a:schemeClr val="bg1"/>
                </a:solidFill>
              </a:rPr>
              <a:t> Growth By Units Sold</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D8FFF"/>
          </a:solidFill>
          <a:ln w="12700" cap="rnd">
            <a:solidFill>
              <a:schemeClr val="tx1"/>
            </a:solidFill>
            <a:bevel/>
          </a:ln>
          <a:effectLst/>
        </c:spPr>
      </c:pivotFmt>
      <c:pivotFmt>
        <c:idx val="2"/>
        <c:spPr>
          <a:solidFill>
            <a:srgbClr val="9FBDFF"/>
          </a:solidFill>
          <a:ln w="12700" cap="rnd">
            <a:solidFill>
              <a:schemeClr val="tx1"/>
            </a:solidFill>
            <a:bevel/>
          </a:ln>
          <a:effectLst/>
        </c:spPr>
      </c:pivotFmt>
      <c:pivotFmt>
        <c:idx val="3"/>
        <c:spPr>
          <a:solidFill>
            <a:srgbClr val="1960FF"/>
          </a:solidFill>
          <a:ln w="12700" cap="rnd">
            <a:solidFill>
              <a:schemeClr val="tx1"/>
            </a:solidFill>
            <a:bevel/>
          </a:ln>
          <a:effectLst/>
        </c:spPr>
      </c:pivotFmt>
      <c:pivotFmt>
        <c:idx val="4"/>
        <c:spPr>
          <a:solidFill>
            <a:srgbClr val="D1E8FF"/>
          </a:solidFill>
          <a:ln w="12700" cap="rnd">
            <a:solidFill>
              <a:schemeClr val="tx1"/>
            </a:solidFill>
            <a:bevel/>
          </a:ln>
          <a:effectLst/>
        </c:spPr>
      </c:pivotFmt>
      <c:pivotFmt>
        <c:idx val="5"/>
        <c:spPr>
          <a:solidFill>
            <a:srgbClr val="9FBDFF"/>
          </a:solidFill>
          <a:ln w="12700" cap="rnd">
            <a:solidFill>
              <a:schemeClr val="tx1"/>
            </a:solidFill>
            <a:bevel/>
          </a:ln>
          <a:effectLst/>
        </c:spPr>
      </c:pivotFmt>
    </c:pivotFmts>
    <c:plotArea>
      <c:layout/>
      <c:doughnutChart>
        <c:varyColors val="1"/>
        <c:ser>
          <c:idx val="0"/>
          <c:order val="0"/>
          <c:tx>
            <c:strRef>
              <c:f>'Dashboard Pivot tables'!$V$2</c:f>
              <c:strCache>
                <c:ptCount val="1"/>
                <c:pt idx="0">
                  <c:v>Total</c:v>
                </c:pt>
              </c:strCache>
            </c:strRef>
          </c:tx>
          <c:spPr>
            <a:ln w="12700">
              <a:solidFill>
                <a:schemeClr val="tx1"/>
              </a:solidFill>
            </a:ln>
          </c:spPr>
          <c:dPt>
            <c:idx val="0"/>
            <c:bubble3D val="0"/>
            <c:spPr>
              <a:solidFill>
                <a:srgbClr val="1960FF"/>
              </a:solidFill>
              <a:ln w="12700" cap="rnd">
                <a:solidFill>
                  <a:schemeClr val="tx1"/>
                </a:solidFill>
                <a:bevel/>
              </a:ln>
              <a:effectLst/>
            </c:spPr>
            <c:extLst>
              <c:ext xmlns:c16="http://schemas.microsoft.com/office/drawing/2014/chart" uri="{C3380CC4-5D6E-409C-BE32-E72D297353CC}">
                <c16:uniqueId val="{00000002-3292-47F2-B019-2084F5142803}"/>
              </c:ext>
            </c:extLst>
          </c:dPt>
          <c:dPt>
            <c:idx val="1"/>
            <c:bubble3D val="0"/>
            <c:spPr>
              <a:solidFill>
                <a:srgbClr val="5D8FFF"/>
              </a:solidFill>
              <a:ln w="12700" cap="rnd">
                <a:solidFill>
                  <a:schemeClr val="tx1"/>
                </a:solidFill>
                <a:bevel/>
              </a:ln>
              <a:effectLst/>
            </c:spPr>
            <c:extLst>
              <c:ext xmlns:c16="http://schemas.microsoft.com/office/drawing/2014/chart" uri="{C3380CC4-5D6E-409C-BE32-E72D297353CC}">
                <c16:uniqueId val="{00000003-3292-47F2-B019-2084F5142803}"/>
              </c:ext>
            </c:extLst>
          </c:dPt>
          <c:dPt>
            <c:idx val="2"/>
            <c:bubble3D val="0"/>
            <c:spPr>
              <a:solidFill>
                <a:srgbClr val="9FBDFF"/>
              </a:solidFill>
              <a:ln w="12700" cap="rnd">
                <a:solidFill>
                  <a:schemeClr val="tx1"/>
                </a:solidFill>
                <a:bevel/>
              </a:ln>
              <a:effectLst/>
            </c:spPr>
            <c:extLst>
              <c:ext xmlns:c16="http://schemas.microsoft.com/office/drawing/2014/chart" uri="{C3380CC4-5D6E-409C-BE32-E72D297353CC}">
                <c16:uniqueId val="{00000004-3292-47F2-B019-2084F5142803}"/>
              </c:ext>
            </c:extLst>
          </c:dPt>
          <c:dPt>
            <c:idx val="3"/>
            <c:bubble3D val="0"/>
            <c:spPr>
              <a:solidFill>
                <a:srgbClr val="9FBDFF"/>
              </a:solidFill>
              <a:ln w="12700" cap="rnd">
                <a:solidFill>
                  <a:schemeClr val="tx1"/>
                </a:solidFill>
                <a:bevel/>
              </a:ln>
              <a:effectLst/>
            </c:spPr>
            <c:extLst>
              <c:ext xmlns:c16="http://schemas.microsoft.com/office/drawing/2014/chart" uri="{C3380CC4-5D6E-409C-BE32-E72D297353CC}">
                <c16:uniqueId val="{00000006-3292-47F2-B019-2084F5142803}"/>
              </c:ext>
            </c:extLst>
          </c:dPt>
          <c:dPt>
            <c:idx val="4"/>
            <c:bubble3D val="0"/>
            <c:spPr>
              <a:solidFill>
                <a:srgbClr val="D1E8FF"/>
              </a:solidFill>
              <a:ln w="12700" cap="rnd">
                <a:solidFill>
                  <a:schemeClr val="tx1"/>
                </a:solidFill>
                <a:bevel/>
              </a:ln>
              <a:effectLst/>
            </c:spPr>
            <c:extLst>
              <c:ext xmlns:c16="http://schemas.microsoft.com/office/drawing/2014/chart" uri="{C3380CC4-5D6E-409C-BE32-E72D297353CC}">
                <c16:uniqueId val="{00000005-3292-47F2-B019-2084F514280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Pivot tables'!$U$3:$U$8</c:f>
              <c:strCache>
                <c:ptCount val="5"/>
                <c:pt idx="0">
                  <c:v>Electronics</c:v>
                </c:pt>
                <c:pt idx="1">
                  <c:v>Beauty</c:v>
                </c:pt>
                <c:pt idx="2">
                  <c:v>Home Appliances</c:v>
                </c:pt>
                <c:pt idx="3">
                  <c:v>Clothing</c:v>
                </c:pt>
                <c:pt idx="4">
                  <c:v>Sports</c:v>
                </c:pt>
              </c:strCache>
            </c:strRef>
          </c:cat>
          <c:val>
            <c:numRef>
              <c:f>'Dashboard Pivot tables'!$V$3:$V$8</c:f>
              <c:numCache>
                <c:formatCode>General</c:formatCode>
                <c:ptCount val="5"/>
                <c:pt idx="0">
                  <c:v>39</c:v>
                </c:pt>
                <c:pt idx="1">
                  <c:v>40</c:v>
                </c:pt>
                <c:pt idx="2">
                  <c:v>60</c:v>
                </c:pt>
                <c:pt idx="3">
                  <c:v>60</c:v>
                </c:pt>
                <c:pt idx="4">
                  <c:v>100</c:v>
                </c:pt>
              </c:numCache>
            </c:numRef>
          </c:val>
          <c:extLst>
            <c:ext xmlns:c16="http://schemas.microsoft.com/office/drawing/2014/chart" uri="{C3380CC4-5D6E-409C-BE32-E72D297353CC}">
              <c16:uniqueId val="{00000000-3292-47F2-B019-2084F5142803}"/>
            </c:ext>
          </c:extLst>
        </c:ser>
        <c:dLbls>
          <c:showLegendKey val="0"/>
          <c:showVal val="1"/>
          <c:showCatName val="0"/>
          <c:showSerName val="0"/>
          <c:showPercent val="0"/>
          <c:showBubbleSize val="0"/>
          <c:showLeaderLines val="1"/>
        </c:dLbls>
        <c:firstSliceAng val="0"/>
        <c:holeSize val="57"/>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00B0F0"/>
        </a:gs>
        <a:gs pos="46000">
          <a:schemeClr val="tx2">
            <a:lumMod val="75000"/>
          </a:schemeClr>
        </a:gs>
        <a:gs pos="100000">
          <a:schemeClr val="tx2">
            <a:lumMod val="50000"/>
          </a:schemeClr>
        </a:gs>
      </a:gsLst>
      <a:path path="rect">
        <a:fillToRect l="100000" t="10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[Month1_Week4_Practice(AutoRecovered).xlsx]Pivot tables!PivotTable13</c:name>
    <c:fmtId val="1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Underperforming</a:t>
            </a:r>
            <a:r>
              <a:rPr lang="en-US" baseline="0">
                <a:solidFill>
                  <a:schemeClr val="bg1"/>
                </a:solidFill>
              </a:rPr>
              <a:t> Products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85C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5C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5C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85C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85C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tables'!$J$45</c:f>
              <c:strCache>
                <c:ptCount val="1"/>
                <c:pt idx="0">
                  <c:v>Total</c:v>
                </c:pt>
              </c:strCache>
            </c:strRef>
          </c:tx>
          <c:spPr>
            <a:solidFill>
              <a:srgbClr val="85C8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tables'!$I$46:$I$61</c:f>
              <c:strCache>
                <c:ptCount val="15"/>
                <c:pt idx="0">
                  <c:v>MAC Lipstick</c:v>
                </c:pt>
                <c:pt idx="1">
                  <c:v>Charlotte Tilbury</c:v>
                </c:pt>
                <c:pt idx="2">
                  <c:v>Fenty Foundation</c:v>
                </c:pt>
                <c:pt idx="3">
                  <c:v>Zara Dress</c:v>
                </c:pt>
                <c:pt idx="4">
                  <c:v>Levi Jeans</c:v>
                </c:pt>
                <c:pt idx="5">
                  <c:v>Tatcha Serum</c:v>
                </c:pt>
                <c:pt idx="6">
                  <c:v>Ralph Lauren Polo</c:v>
                </c:pt>
                <c:pt idx="7">
                  <c:v>Dior Perfume</c:v>
                </c:pt>
                <c:pt idx="8">
                  <c:v>Ninja Blender</c:v>
                </c:pt>
                <c:pt idx="9">
                  <c:v>SK-II Essence</c:v>
                </c:pt>
                <c:pt idx="10">
                  <c:v>Nike Hoodie</c:v>
                </c:pt>
                <c:pt idx="11">
                  <c:v>Adidas Tracksuit</c:v>
                </c:pt>
                <c:pt idx="12">
                  <c:v>AirPods Pro</c:v>
                </c:pt>
                <c:pt idx="13">
                  <c:v>Fitbit Tracker</c:v>
                </c:pt>
                <c:pt idx="14">
                  <c:v>Instant Pot</c:v>
                </c:pt>
              </c:strCache>
            </c:strRef>
          </c:cat>
          <c:val>
            <c:numRef>
              <c:f>'Pivot tables'!$J$46:$J$61</c:f>
              <c:numCache>
                <c:formatCode>General</c:formatCode>
                <c:ptCount val="15"/>
                <c:pt idx="0">
                  <c:v>168</c:v>
                </c:pt>
                <c:pt idx="1">
                  <c:v>228</c:v>
                </c:pt>
                <c:pt idx="2">
                  <c:v>294</c:v>
                </c:pt>
                <c:pt idx="3">
                  <c:v>390</c:v>
                </c:pt>
                <c:pt idx="4">
                  <c:v>553</c:v>
                </c:pt>
                <c:pt idx="5">
                  <c:v>616</c:v>
                </c:pt>
                <c:pt idx="6">
                  <c:v>665</c:v>
                </c:pt>
                <c:pt idx="7">
                  <c:v>875</c:v>
                </c:pt>
                <c:pt idx="8">
                  <c:v>894</c:v>
                </c:pt>
                <c:pt idx="9">
                  <c:v>1110</c:v>
                </c:pt>
                <c:pt idx="10">
                  <c:v>1246</c:v>
                </c:pt>
                <c:pt idx="11">
                  <c:v>1320</c:v>
                </c:pt>
                <c:pt idx="12">
                  <c:v>1743</c:v>
                </c:pt>
                <c:pt idx="13">
                  <c:v>1788</c:v>
                </c:pt>
                <c:pt idx="14">
                  <c:v>1806</c:v>
                </c:pt>
              </c:numCache>
            </c:numRef>
          </c:val>
          <c:extLst>
            <c:ext xmlns:c16="http://schemas.microsoft.com/office/drawing/2014/chart" uri="{C3380CC4-5D6E-409C-BE32-E72D297353CC}">
              <c16:uniqueId val="{00000000-FA8F-4904-AE0D-556AD86E6241}"/>
            </c:ext>
          </c:extLst>
        </c:ser>
        <c:dLbls>
          <c:dLblPos val="outEnd"/>
          <c:showLegendKey val="0"/>
          <c:showVal val="1"/>
          <c:showCatName val="0"/>
          <c:showSerName val="0"/>
          <c:showPercent val="0"/>
          <c:showBubbleSize val="0"/>
        </c:dLbls>
        <c:gapWidth val="182"/>
        <c:axId val="710918928"/>
        <c:axId val="705098304"/>
      </c:barChart>
      <c:catAx>
        <c:axId val="710918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05098304"/>
        <c:crosses val="autoZero"/>
        <c:auto val="1"/>
        <c:lblAlgn val="ctr"/>
        <c:lblOffset val="100"/>
        <c:noMultiLvlLbl val="0"/>
      </c:catAx>
      <c:valAx>
        <c:axId val="705098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10918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00B0F0"/>
        </a:gs>
        <a:gs pos="46000">
          <a:schemeClr val="tx2">
            <a:lumMod val="75000"/>
          </a:schemeClr>
        </a:gs>
        <a:gs pos="100000">
          <a:schemeClr val="tx2">
            <a:lumMod val="50000"/>
          </a:schemeClr>
        </a:gs>
      </a:gsLst>
      <a:path path="rect">
        <a:fillToRect l="100000" t="100000"/>
      </a:path>
      <a:tileRect r="-100000" b="-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[Month1_Week4_Practice(AutoRecovered).xlsx]Dashboard Pivot tables!PivotTable4</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
        <c:spPr>
          <a:solidFill>
            <a:srgbClr val="0070C0"/>
          </a:solidFill>
          <a:ln w="12700">
            <a:solidFill>
              <a:schemeClr val="tx1"/>
            </a:solidFill>
          </a:ln>
          <a:effectLst/>
        </c:spPr>
      </c:pivotFmt>
      <c:pivotFmt>
        <c:idx val="2"/>
        <c:spPr>
          <a:solidFill>
            <a:srgbClr val="0070C0"/>
          </a:solidFill>
          <a:ln w="12700">
            <a:solidFill>
              <a:schemeClr val="tx1"/>
            </a:solidFill>
          </a:ln>
          <a:effectLst/>
        </c:spPr>
      </c:pivotFmt>
      <c:pivotFmt>
        <c:idx val="3"/>
        <c:spPr>
          <a:solidFill>
            <a:srgbClr val="0070C0"/>
          </a:solidFill>
          <a:ln w="12700">
            <a:solidFill>
              <a:schemeClr val="tx1"/>
            </a:solidFill>
          </a:ln>
          <a:effectLst/>
        </c:spPr>
      </c:pivotFmt>
      <c:pivotFmt>
        <c:idx val="4"/>
        <c:spPr>
          <a:solidFill>
            <a:srgbClr val="0070C0"/>
          </a:solidFill>
          <a:ln w="12700">
            <a:solidFill>
              <a:schemeClr val="tx1"/>
            </a:solidFill>
          </a:ln>
          <a:effectLst/>
        </c:spPr>
      </c:pivotFmt>
    </c:pivotFmts>
    <c:plotArea>
      <c:layout/>
      <c:doughnutChart>
        <c:varyColors val="1"/>
        <c:ser>
          <c:idx val="0"/>
          <c:order val="0"/>
          <c:tx>
            <c:strRef>
              <c:f>'Dashboard Pivot tables'!$X$2</c:f>
              <c:strCache>
                <c:ptCount val="1"/>
                <c:pt idx="0">
                  <c:v>Total</c:v>
                </c:pt>
              </c:strCache>
            </c:strRef>
          </c:tx>
          <c:explosion val="2"/>
          <c:dPt>
            <c:idx val="0"/>
            <c:bubble3D val="0"/>
            <c:spPr>
              <a:solidFill>
                <a:srgbClr val="0070C0"/>
              </a:solidFill>
              <a:ln w="12700">
                <a:solidFill>
                  <a:schemeClr val="tx1"/>
                </a:solidFill>
              </a:ln>
              <a:effectLst/>
            </c:spPr>
            <c:extLst>
              <c:ext xmlns:c16="http://schemas.microsoft.com/office/drawing/2014/chart" uri="{C3380CC4-5D6E-409C-BE32-E72D297353CC}">
                <c16:uniqueId val="{00000002-2D87-4B7D-806A-686CB56C0E39}"/>
              </c:ext>
            </c:extLst>
          </c:dPt>
          <c:dPt>
            <c:idx val="1"/>
            <c:bubble3D val="0"/>
            <c:spPr>
              <a:solidFill>
                <a:srgbClr val="0070C0"/>
              </a:solidFill>
              <a:ln w="12700">
                <a:solidFill>
                  <a:schemeClr val="tx1"/>
                </a:solidFill>
              </a:ln>
              <a:effectLst/>
            </c:spPr>
            <c:extLst>
              <c:ext xmlns:c16="http://schemas.microsoft.com/office/drawing/2014/chart" uri="{C3380CC4-5D6E-409C-BE32-E72D297353CC}">
                <c16:uniqueId val="{00000005-2D87-4B7D-806A-686CB56C0E39}"/>
              </c:ext>
            </c:extLst>
          </c:dPt>
          <c:dPt>
            <c:idx val="2"/>
            <c:bubble3D val="0"/>
            <c:spPr>
              <a:solidFill>
                <a:srgbClr val="0070C0"/>
              </a:solidFill>
              <a:ln w="12700">
                <a:solidFill>
                  <a:schemeClr val="tx1"/>
                </a:solidFill>
              </a:ln>
              <a:effectLst/>
            </c:spPr>
            <c:extLst>
              <c:ext xmlns:c16="http://schemas.microsoft.com/office/drawing/2014/chart" uri="{C3380CC4-5D6E-409C-BE32-E72D297353CC}">
                <c16:uniqueId val="{00000004-2D87-4B7D-806A-686CB56C0E39}"/>
              </c:ext>
            </c:extLst>
          </c:dPt>
          <c:dPt>
            <c:idx val="3"/>
            <c:bubble3D val="0"/>
            <c:spPr>
              <a:solidFill>
                <a:srgbClr val="0070C0"/>
              </a:solidFill>
              <a:ln w="12700">
                <a:solidFill>
                  <a:schemeClr val="tx1"/>
                </a:solidFill>
              </a:ln>
              <a:effectLst/>
            </c:spPr>
            <c:extLst>
              <c:ext xmlns:c16="http://schemas.microsoft.com/office/drawing/2014/chart" uri="{C3380CC4-5D6E-409C-BE32-E72D297353CC}">
                <c16:uniqueId val="{00000003-2D87-4B7D-806A-686CB56C0E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Pivot tables'!$W$3:$W$7</c:f>
              <c:strCache>
                <c:ptCount val="4"/>
                <c:pt idx="0">
                  <c:v>East</c:v>
                </c:pt>
                <c:pt idx="1">
                  <c:v>North</c:v>
                </c:pt>
                <c:pt idx="2">
                  <c:v>South</c:v>
                </c:pt>
                <c:pt idx="3">
                  <c:v>West</c:v>
                </c:pt>
              </c:strCache>
            </c:strRef>
          </c:cat>
          <c:val>
            <c:numRef>
              <c:f>'Dashboard Pivot tables'!$X$3:$X$7</c:f>
              <c:numCache>
                <c:formatCode>General</c:formatCode>
                <c:ptCount val="4"/>
                <c:pt idx="0">
                  <c:v>38591</c:v>
                </c:pt>
                <c:pt idx="1">
                  <c:v>38136</c:v>
                </c:pt>
                <c:pt idx="2">
                  <c:v>18634</c:v>
                </c:pt>
                <c:pt idx="3">
                  <c:v>18563</c:v>
                </c:pt>
              </c:numCache>
            </c:numRef>
          </c:val>
          <c:extLst>
            <c:ext xmlns:c16="http://schemas.microsoft.com/office/drawing/2014/chart" uri="{C3380CC4-5D6E-409C-BE32-E72D297353CC}">
              <c16:uniqueId val="{00000000-2D87-4B7D-806A-686CB56C0E39}"/>
            </c:ext>
          </c:extLst>
        </c:ser>
        <c:dLbls>
          <c:showLegendKey val="0"/>
          <c:showVal val="1"/>
          <c:showCatName val="0"/>
          <c:showSerName val="0"/>
          <c:showPercent val="0"/>
          <c:showBubbleSize val="0"/>
          <c:showLeaderLines val="1"/>
        </c:dLbls>
        <c:firstSliceAng val="298"/>
        <c:holeSize val="4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[Month1_Week4_Practice(AutoRecovered).xlsx]Pivot tables!PivotTable10</c:name>
    <c:fmtId val="3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Customer</a:t>
            </a:r>
            <a:r>
              <a:rPr lang="en-US" baseline="0">
                <a:solidFill>
                  <a:schemeClr val="bg1"/>
                </a:solidFill>
              </a:rPr>
              <a:t> Segment Revenue By Month</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38100" cap="rnd">
            <a:solidFill>
              <a:srgbClr val="0070C0"/>
            </a:solidFill>
            <a:round/>
          </a:ln>
          <a:effectLst/>
        </c:spPr>
        <c:marker>
          <c:symbol val="square"/>
          <c:size val="6"/>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rnd">
            <a:solidFill>
              <a:srgbClr val="5DB2FF"/>
            </a:solidFill>
            <a:round/>
          </a:ln>
          <a:effectLst/>
        </c:spPr>
        <c:marker>
          <c:symbol val="square"/>
          <c:size val="6"/>
          <c:spPr>
            <a:solidFill>
              <a:schemeClr val="bg1">
                <a:lumMod val="75000"/>
              </a:schemeClr>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8100" cap="rnd">
            <a:solidFill>
              <a:srgbClr val="E5F3FF"/>
            </a:solidFill>
            <a:round/>
          </a:ln>
          <a:effectLst/>
        </c:spPr>
        <c:marker>
          <c:symbol val="square"/>
          <c:size val="6"/>
          <c:spPr>
            <a:solidFill>
              <a:srgbClr val="002060"/>
            </a:solidFill>
            <a:ln w="9525">
              <a:solidFill>
                <a:srgbClr val="E5F3F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38100" cap="rnd">
            <a:solidFill>
              <a:srgbClr val="0070C0"/>
            </a:solidFill>
            <a:round/>
          </a:ln>
          <a:effectLst/>
        </c:spPr>
        <c:marker>
          <c:symbol val="square"/>
          <c:size val="6"/>
          <c:spPr>
            <a:solidFill>
              <a:schemeClr val="bg1"/>
            </a:solidFill>
            <a:ln w="9525">
              <a:solidFill>
                <a:schemeClr val="accent1"/>
              </a:solidFill>
            </a:ln>
            <a:effectLst/>
          </c:spPr>
        </c:marker>
      </c:pivotFmt>
      <c:pivotFmt>
        <c:idx val="4"/>
        <c:spPr>
          <a:solidFill>
            <a:schemeClr val="accent1"/>
          </a:solidFill>
          <a:ln w="38100" cap="rnd">
            <a:solidFill>
              <a:srgbClr val="0070C0"/>
            </a:solidFill>
            <a:round/>
          </a:ln>
          <a:effectLst/>
        </c:spPr>
        <c:marker>
          <c:symbol val="square"/>
          <c:size val="6"/>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38100" cap="rnd">
            <a:solidFill>
              <a:srgbClr val="5DB2FF"/>
            </a:solidFill>
            <a:round/>
          </a:ln>
          <a:effectLst/>
        </c:spPr>
        <c:marker>
          <c:symbol val="square"/>
          <c:size val="6"/>
          <c:spPr>
            <a:solidFill>
              <a:schemeClr val="bg1">
                <a:lumMod val="75000"/>
              </a:schemeClr>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38100" cap="rnd">
            <a:solidFill>
              <a:srgbClr val="E5F3FF"/>
            </a:solidFill>
            <a:round/>
          </a:ln>
          <a:effectLst/>
        </c:spPr>
        <c:marker>
          <c:symbol val="square"/>
          <c:size val="6"/>
          <c:spPr>
            <a:solidFill>
              <a:srgbClr val="002060"/>
            </a:solidFill>
            <a:ln w="9525">
              <a:solidFill>
                <a:srgbClr val="E5F3F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38100"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38100" cap="rnd">
            <a:solidFill>
              <a:srgbClr val="5DB2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38100" cap="rnd">
            <a:solidFill>
              <a:srgbClr val="E5F3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38100" cap="rnd">
            <a:solidFill>
              <a:srgbClr val="5DB2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38100" cap="rnd">
            <a:solidFill>
              <a:srgbClr val="E5F3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38100"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38100" cap="rnd">
            <a:solidFill>
              <a:srgbClr val="5DB2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ln w="38100" cap="rnd">
            <a:solidFill>
              <a:srgbClr val="E5F3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ln w="38100"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tables'!$B$19:$B$20</c:f>
              <c:strCache>
                <c:ptCount val="1"/>
                <c:pt idx="0">
                  <c:v>Premium</c:v>
                </c:pt>
              </c:strCache>
            </c:strRef>
          </c:tx>
          <c:spPr>
            <a:ln w="38100" cap="rnd">
              <a:solidFill>
                <a:srgbClr val="5DB2FF"/>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tables'!$A$21:$A$27</c:f>
              <c:strCache>
                <c:ptCount val="6"/>
                <c:pt idx="0">
                  <c:v>January</c:v>
                </c:pt>
                <c:pt idx="1">
                  <c:v>February</c:v>
                </c:pt>
                <c:pt idx="2">
                  <c:v>March</c:v>
                </c:pt>
                <c:pt idx="3">
                  <c:v>April</c:v>
                </c:pt>
                <c:pt idx="4">
                  <c:v>May</c:v>
                </c:pt>
                <c:pt idx="5">
                  <c:v>June</c:v>
                </c:pt>
              </c:strCache>
            </c:strRef>
          </c:cat>
          <c:val>
            <c:numRef>
              <c:f>'Pivot tables'!$B$21:$B$27</c:f>
              <c:numCache>
                <c:formatCode>General</c:formatCode>
                <c:ptCount val="6"/>
                <c:pt idx="0">
                  <c:v>42130</c:v>
                </c:pt>
                <c:pt idx="1">
                  <c:v>0</c:v>
                </c:pt>
                <c:pt idx="2">
                  <c:v>0</c:v>
                </c:pt>
                <c:pt idx="3">
                  <c:v>7129</c:v>
                </c:pt>
                <c:pt idx="4">
                  <c:v>0</c:v>
                </c:pt>
                <c:pt idx="5">
                  <c:v>0</c:v>
                </c:pt>
              </c:numCache>
            </c:numRef>
          </c:val>
          <c:smooth val="0"/>
          <c:extLst>
            <c:ext xmlns:c16="http://schemas.microsoft.com/office/drawing/2014/chart" uri="{C3380CC4-5D6E-409C-BE32-E72D297353CC}">
              <c16:uniqueId val="{00000000-3273-4AE2-8B4C-7A6C9A805B5C}"/>
            </c:ext>
          </c:extLst>
        </c:ser>
        <c:ser>
          <c:idx val="1"/>
          <c:order val="1"/>
          <c:tx>
            <c:strRef>
              <c:f>'Pivot tables'!$C$19:$C$20</c:f>
              <c:strCache>
                <c:ptCount val="1"/>
                <c:pt idx="0">
                  <c:v>Standard</c:v>
                </c:pt>
              </c:strCache>
            </c:strRef>
          </c:tx>
          <c:spPr>
            <a:ln w="38100" cap="rnd">
              <a:solidFill>
                <a:srgbClr val="E5F3FF"/>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tables'!$A$21:$A$27</c:f>
              <c:strCache>
                <c:ptCount val="6"/>
                <c:pt idx="0">
                  <c:v>January</c:v>
                </c:pt>
                <c:pt idx="1">
                  <c:v>February</c:v>
                </c:pt>
                <c:pt idx="2">
                  <c:v>March</c:v>
                </c:pt>
                <c:pt idx="3">
                  <c:v>April</c:v>
                </c:pt>
                <c:pt idx="4">
                  <c:v>May</c:v>
                </c:pt>
                <c:pt idx="5">
                  <c:v>June</c:v>
                </c:pt>
              </c:strCache>
            </c:strRef>
          </c:cat>
          <c:val>
            <c:numRef>
              <c:f>'Pivot tables'!$C$21:$C$27</c:f>
              <c:numCache>
                <c:formatCode>General</c:formatCode>
                <c:ptCount val="6"/>
                <c:pt idx="0">
                  <c:v>0</c:v>
                </c:pt>
                <c:pt idx="1">
                  <c:v>21101</c:v>
                </c:pt>
                <c:pt idx="2">
                  <c:v>0</c:v>
                </c:pt>
                <c:pt idx="3">
                  <c:v>0</c:v>
                </c:pt>
                <c:pt idx="4">
                  <c:v>17230</c:v>
                </c:pt>
                <c:pt idx="5">
                  <c:v>0</c:v>
                </c:pt>
              </c:numCache>
            </c:numRef>
          </c:val>
          <c:smooth val="0"/>
          <c:extLst>
            <c:ext xmlns:c16="http://schemas.microsoft.com/office/drawing/2014/chart" uri="{C3380CC4-5D6E-409C-BE32-E72D297353CC}">
              <c16:uniqueId val="{00000003-D265-4C8E-BE24-4387986CF00A}"/>
            </c:ext>
          </c:extLst>
        </c:ser>
        <c:ser>
          <c:idx val="2"/>
          <c:order val="2"/>
          <c:tx>
            <c:strRef>
              <c:f>'Pivot tables'!$D$19:$D$20</c:f>
              <c:strCache>
                <c:ptCount val="1"/>
                <c:pt idx="0">
                  <c:v>Budget</c:v>
                </c:pt>
              </c:strCache>
            </c:strRef>
          </c:tx>
          <c:spPr>
            <a:ln w="38100" cap="rnd">
              <a:solidFill>
                <a:srgbClr val="0070C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tables'!$A$21:$A$27</c:f>
              <c:strCache>
                <c:ptCount val="6"/>
                <c:pt idx="0">
                  <c:v>January</c:v>
                </c:pt>
                <c:pt idx="1">
                  <c:v>February</c:v>
                </c:pt>
                <c:pt idx="2">
                  <c:v>March</c:v>
                </c:pt>
                <c:pt idx="3">
                  <c:v>April</c:v>
                </c:pt>
                <c:pt idx="4">
                  <c:v>May</c:v>
                </c:pt>
                <c:pt idx="5">
                  <c:v>June</c:v>
                </c:pt>
              </c:strCache>
            </c:strRef>
          </c:cat>
          <c:val>
            <c:numRef>
              <c:f>'Pivot tables'!$D$21:$D$27</c:f>
              <c:numCache>
                <c:formatCode>General</c:formatCode>
                <c:ptCount val="6"/>
                <c:pt idx="0">
                  <c:v>0</c:v>
                </c:pt>
                <c:pt idx="1">
                  <c:v>0</c:v>
                </c:pt>
                <c:pt idx="2">
                  <c:v>18666</c:v>
                </c:pt>
                <c:pt idx="3">
                  <c:v>0</c:v>
                </c:pt>
                <c:pt idx="4">
                  <c:v>0</c:v>
                </c:pt>
                <c:pt idx="5">
                  <c:v>8967</c:v>
                </c:pt>
              </c:numCache>
            </c:numRef>
          </c:val>
          <c:smooth val="0"/>
          <c:extLst>
            <c:ext xmlns:c16="http://schemas.microsoft.com/office/drawing/2014/chart" uri="{C3380CC4-5D6E-409C-BE32-E72D297353CC}">
              <c16:uniqueId val="{00000004-D265-4C8E-BE24-4387986CF00A}"/>
            </c:ext>
          </c:extLst>
        </c:ser>
        <c:dLbls>
          <c:dLblPos val="t"/>
          <c:showLegendKey val="0"/>
          <c:showVal val="1"/>
          <c:showCatName val="0"/>
          <c:showSerName val="0"/>
          <c:showPercent val="0"/>
          <c:showBubbleSize val="0"/>
        </c:dLbls>
        <c:smooth val="0"/>
        <c:axId val="75512288"/>
        <c:axId val="1621611967"/>
      </c:lineChart>
      <c:catAx>
        <c:axId val="75512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21611967"/>
        <c:crosses val="autoZero"/>
        <c:auto val="1"/>
        <c:lblAlgn val="ctr"/>
        <c:lblOffset val="100"/>
        <c:noMultiLvlLbl val="0"/>
      </c:catAx>
      <c:valAx>
        <c:axId val="1621611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5512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a:gsLst>
        <a:gs pos="0">
          <a:srgbClr val="00B0F0"/>
        </a:gs>
        <a:gs pos="46000">
          <a:srgbClr val="17375E"/>
        </a:gs>
        <a:gs pos="100000">
          <a:schemeClr val="tx2">
            <a:lumMod val="50000"/>
          </a:schemeClr>
        </a:gs>
      </a:gsLst>
      <a:path path="rect">
        <a:fillToRect l="100000" t="10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[Month1_Week4_Practice(AutoRecovered).xlsx]Dashboard Pivot tables!PivotTable4</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
        <c:spPr>
          <a:solidFill>
            <a:srgbClr val="0070C0"/>
          </a:solidFill>
          <a:ln w="12700">
            <a:solidFill>
              <a:schemeClr val="tx1"/>
            </a:solidFill>
          </a:ln>
          <a:effectLst/>
        </c:spPr>
      </c:pivotFmt>
      <c:pivotFmt>
        <c:idx val="2"/>
        <c:spPr>
          <a:solidFill>
            <a:srgbClr val="0070C0"/>
          </a:solidFill>
          <a:ln w="12700">
            <a:solidFill>
              <a:schemeClr val="tx1"/>
            </a:solidFill>
          </a:ln>
          <a:effectLst/>
        </c:spPr>
      </c:pivotFmt>
      <c:pivotFmt>
        <c:idx val="3"/>
        <c:spPr>
          <a:solidFill>
            <a:srgbClr val="0070C0"/>
          </a:solidFill>
          <a:ln w="12700">
            <a:solidFill>
              <a:schemeClr val="tx1"/>
            </a:solidFill>
          </a:ln>
          <a:effectLst/>
        </c:spPr>
      </c:pivotFmt>
      <c:pivotFmt>
        <c:idx val="4"/>
        <c:spPr>
          <a:solidFill>
            <a:srgbClr val="0070C0"/>
          </a:solidFill>
          <a:ln w="12700">
            <a:solidFill>
              <a:schemeClr val="tx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6"/>
        <c:spPr>
          <a:solidFill>
            <a:srgbClr val="0070C0"/>
          </a:solidFill>
          <a:ln w="12700">
            <a:solidFill>
              <a:schemeClr val="tx1"/>
            </a:solidFill>
          </a:ln>
          <a:effectLst/>
        </c:spPr>
      </c:pivotFmt>
      <c:pivotFmt>
        <c:idx val="7"/>
        <c:spPr>
          <a:solidFill>
            <a:srgbClr val="0070C0"/>
          </a:solidFill>
          <a:ln w="12700">
            <a:solidFill>
              <a:schemeClr val="tx1"/>
            </a:solidFill>
          </a:ln>
          <a:effectLst/>
        </c:spPr>
      </c:pivotFmt>
      <c:pivotFmt>
        <c:idx val="8"/>
        <c:spPr>
          <a:solidFill>
            <a:srgbClr val="0070C0"/>
          </a:solidFill>
          <a:ln w="12700">
            <a:solidFill>
              <a:schemeClr val="tx1"/>
            </a:solidFill>
          </a:ln>
          <a:effectLst/>
        </c:spPr>
      </c:pivotFmt>
      <c:pivotFmt>
        <c:idx val="9"/>
        <c:spPr>
          <a:solidFill>
            <a:srgbClr val="0070C0"/>
          </a:solidFill>
          <a:ln w="12700">
            <a:solidFill>
              <a:schemeClr val="tx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12700" cap="rnd">
                    <a:solidFill>
                      <a:schemeClr val="bg1"/>
                    </a:solidFill>
                    <a:beve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1"/>
        <c:spPr>
          <a:solidFill>
            <a:srgbClr val="0070C0"/>
          </a:solidFill>
          <a:ln w="12700">
            <a:solidFill>
              <a:schemeClr val="tx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w="12700" cap="rnd">
                      <a:solidFill>
                        <a:schemeClr val="bg1"/>
                      </a:solidFill>
                      <a:bevel/>
                    </a:ln>
                    <a:solidFill>
                      <a:schemeClr val="bg1"/>
                    </a:solidFill>
                    <a:latin typeface="+mn-lt"/>
                    <a:ea typeface="+mn-ea"/>
                    <a:cs typeface="+mn-cs"/>
                  </a:defRPr>
                </a:pPr>
                <a:fld id="{57BDB156-AA95-44C7-99F0-7EC61B75A64A}" type="CELLRANGE">
                  <a:rPr lang="en-US"/>
                  <a:pPr>
                    <a:defRPr>
                      <a:ln w="12700" cap="rnd">
                        <a:solidFill>
                          <a:schemeClr val="bg1"/>
                        </a:solidFill>
                        <a:bevel/>
                      </a:ln>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12700" cap="rnd">
                    <a:solidFill>
                      <a:schemeClr val="bg1"/>
                    </a:solidFill>
                    <a:beve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rgbClr val="0070C0"/>
          </a:solidFill>
          <a:ln w="12700">
            <a:solidFill>
              <a:schemeClr val="tx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w="12700" cap="rnd">
                      <a:solidFill>
                        <a:schemeClr val="bg1"/>
                      </a:solidFill>
                      <a:bevel/>
                    </a:ln>
                    <a:solidFill>
                      <a:schemeClr val="bg1"/>
                    </a:solidFill>
                    <a:latin typeface="+mn-lt"/>
                    <a:ea typeface="+mn-ea"/>
                    <a:cs typeface="+mn-cs"/>
                  </a:defRPr>
                </a:pPr>
                <a:fld id="{F88CA2EB-EB68-48AE-ADC2-F8B67E588DA3}" type="CELLRANGE">
                  <a:rPr lang="en-US"/>
                  <a:pPr>
                    <a:defRPr>
                      <a:ln w="12700" cap="rnd">
                        <a:solidFill>
                          <a:schemeClr val="bg1"/>
                        </a:solidFill>
                        <a:bevel/>
                      </a:ln>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12700" cap="rnd">
                    <a:solidFill>
                      <a:schemeClr val="bg1"/>
                    </a:solidFill>
                    <a:beve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rgbClr val="0070C0"/>
          </a:solidFill>
          <a:ln w="12700">
            <a:solidFill>
              <a:schemeClr val="tx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w="12700" cap="rnd">
                      <a:solidFill>
                        <a:schemeClr val="bg1"/>
                      </a:solidFill>
                      <a:bevel/>
                    </a:ln>
                    <a:solidFill>
                      <a:schemeClr val="bg1"/>
                    </a:solidFill>
                    <a:latin typeface="+mn-lt"/>
                    <a:ea typeface="+mn-ea"/>
                    <a:cs typeface="+mn-cs"/>
                  </a:defRPr>
                </a:pPr>
                <a:fld id="{4AA2AC97-99F6-4C58-A273-316D3B06F7A2}" type="CELLRANGE">
                  <a:rPr lang="en-US"/>
                  <a:pPr>
                    <a:defRPr>
                      <a:ln w="12700" cap="rnd">
                        <a:solidFill>
                          <a:schemeClr val="bg1"/>
                        </a:solidFill>
                        <a:bevel/>
                      </a:ln>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12700" cap="rnd">
                    <a:solidFill>
                      <a:schemeClr val="bg1"/>
                    </a:solidFill>
                    <a:beve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rgbClr val="0070C0"/>
          </a:solidFill>
          <a:ln w="12700">
            <a:solidFill>
              <a:schemeClr val="tx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w="12700" cap="rnd">
                      <a:solidFill>
                        <a:schemeClr val="bg1"/>
                      </a:solidFill>
                      <a:bevel/>
                    </a:ln>
                    <a:solidFill>
                      <a:schemeClr val="bg1"/>
                    </a:solidFill>
                    <a:latin typeface="+mn-lt"/>
                    <a:ea typeface="+mn-ea"/>
                    <a:cs typeface="+mn-cs"/>
                  </a:defRPr>
                </a:pPr>
                <a:fld id="{22406F84-B9B4-4B1E-8885-8C2AE1201C4E}" type="CELLRANGE">
                  <a:rPr lang="en-US"/>
                  <a:pPr>
                    <a:defRPr>
                      <a:ln w="12700" cap="rnd">
                        <a:solidFill>
                          <a:schemeClr val="bg1"/>
                        </a:solidFill>
                        <a:bevel/>
                      </a:ln>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12700" cap="rnd">
                    <a:solidFill>
                      <a:schemeClr val="bg1"/>
                    </a:solidFill>
                    <a:beve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doughnutChart>
        <c:varyColors val="1"/>
        <c:ser>
          <c:idx val="0"/>
          <c:order val="0"/>
          <c:tx>
            <c:strRef>
              <c:f>'Dashboard Pivot tables'!$H$13:$H$16</c:f>
              <c:strCache>
                <c:ptCount val="1"/>
                <c:pt idx="0">
                  <c:v>Total</c:v>
                </c:pt>
              </c:strCache>
            </c:strRef>
          </c:tx>
          <c:explosion val="2"/>
          <c:dPt>
            <c:idx val="0"/>
            <c:bubble3D val="0"/>
            <c:spPr>
              <a:solidFill>
                <a:srgbClr val="0070C0"/>
              </a:solidFill>
              <a:ln w="12700">
                <a:solidFill>
                  <a:schemeClr val="tx1"/>
                </a:solidFill>
              </a:ln>
              <a:effectLst/>
            </c:spPr>
            <c:extLst>
              <c:ext xmlns:c16="http://schemas.microsoft.com/office/drawing/2014/chart" uri="{C3380CC4-5D6E-409C-BE32-E72D297353CC}">
                <c16:uniqueId val="{00000001-E74C-48BC-8579-00D791DB7AB1}"/>
              </c:ext>
            </c:extLst>
          </c:dPt>
          <c:dPt>
            <c:idx val="1"/>
            <c:bubble3D val="0"/>
            <c:spPr>
              <a:solidFill>
                <a:srgbClr val="0070C0"/>
              </a:solidFill>
              <a:ln w="12700">
                <a:solidFill>
                  <a:schemeClr val="tx1"/>
                </a:solidFill>
              </a:ln>
              <a:effectLst/>
            </c:spPr>
            <c:extLst>
              <c:ext xmlns:c16="http://schemas.microsoft.com/office/drawing/2014/chart" uri="{C3380CC4-5D6E-409C-BE32-E72D297353CC}">
                <c16:uniqueId val="{00000003-E74C-48BC-8579-00D791DB7AB1}"/>
              </c:ext>
            </c:extLst>
          </c:dPt>
          <c:dPt>
            <c:idx val="2"/>
            <c:bubble3D val="0"/>
            <c:spPr>
              <a:solidFill>
                <a:srgbClr val="0070C0"/>
              </a:solidFill>
              <a:ln w="12700">
                <a:solidFill>
                  <a:schemeClr val="tx1"/>
                </a:solidFill>
              </a:ln>
              <a:effectLst/>
            </c:spPr>
            <c:extLst>
              <c:ext xmlns:c16="http://schemas.microsoft.com/office/drawing/2014/chart" uri="{C3380CC4-5D6E-409C-BE32-E72D297353CC}">
                <c16:uniqueId val="{00000005-E74C-48BC-8579-00D791DB7AB1}"/>
              </c:ext>
            </c:extLst>
          </c:dPt>
          <c:dPt>
            <c:idx val="3"/>
            <c:bubble3D val="0"/>
            <c:spPr>
              <a:solidFill>
                <a:srgbClr val="0070C0"/>
              </a:solidFill>
              <a:ln w="12700">
                <a:solidFill>
                  <a:schemeClr val="tx1"/>
                </a:solidFill>
              </a:ln>
              <a:effectLst/>
            </c:spPr>
            <c:extLst>
              <c:ext xmlns:c16="http://schemas.microsoft.com/office/drawing/2014/chart" uri="{C3380CC4-5D6E-409C-BE32-E72D297353CC}">
                <c16:uniqueId val="{00000007-E74C-48BC-8579-00D791DB7AB1}"/>
              </c:ext>
            </c:extLst>
          </c:dPt>
          <c:dLbls>
            <c:dLbl>
              <c:idx val="0"/>
              <c:tx>
                <c:rich>
                  <a:bodyPr/>
                  <a:lstStyle/>
                  <a:p>
                    <a:fld id="{57BDB156-AA95-44C7-99F0-7EC61B75A64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74C-48BC-8579-00D791DB7AB1}"/>
                </c:ext>
              </c:extLst>
            </c:dLbl>
            <c:dLbl>
              <c:idx val="1"/>
              <c:tx>
                <c:rich>
                  <a:bodyPr/>
                  <a:lstStyle/>
                  <a:p>
                    <a:fld id="{F88CA2EB-EB68-48AE-ADC2-F8B67E588DA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74C-48BC-8579-00D791DB7AB1}"/>
                </c:ext>
              </c:extLst>
            </c:dLbl>
            <c:dLbl>
              <c:idx val="2"/>
              <c:tx>
                <c:rich>
                  <a:bodyPr/>
                  <a:lstStyle/>
                  <a:p>
                    <a:fld id="{4AA2AC97-99F6-4C58-A273-316D3B06F7A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74C-48BC-8579-00D791DB7AB1}"/>
                </c:ext>
              </c:extLst>
            </c:dLbl>
            <c:dLbl>
              <c:idx val="3"/>
              <c:tx>
                <c:rich>
                  <a:bodyPr/>
                  <a:lstStyle/>
                  <a:p>
                    <a:fld id="{22406F84-B9B4-4B1E-8885-8C2AE1201C4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74C-48BC-8579-00D791DB7AB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12700" cap="rnd">
                      <a:solidFill>
                        <a:schemeClr val="bg1"/>
                      </a:solidFill>
                      <a:bevel/>
                    </a:ln>
                    <a:solidFill>
                      <a:schemeClr val="bg1"/>
                    </a:solidFill>
                    <a:latin typeface="+mn-lt"/>
                    <a:ea typeface="+mn-ea"/>
                    <a:cs typeface="+mn-cs"/>
                  </a:defRPr>
                </a:pPr>
                <a:endParaRPr lang="en-US"/>
              </a:p>
            </c:txPr>
            <c:showLegendKey val="0"/>
            <c:showVal val="0"/>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cat>
            <c:strRef>
              <c:f>'Dashboard Pivot tables'!$H$13:$H$16</c:f>
              <c:strCache>
                <c:ptCount val="4"/>
                <c:pt idx="0">
                  <c:v>East</c:v>
                </c:pt>
                <c:pt idx="1">
                  <c:v>North</c:v>
                </c:pt>
                <c:pt idx="2">
                  <c:v>South</c:v>
                </c:pt>
                <c:pt idx="3">
                  <c:v>West</c:v>
                </c:pt>
              </c:strCache>
            </c:strRef>
          </c:cat>
          <c:val>
            <c:numRef>
              <c:f>'Dashboard Pivot tables'!$H$13:$H$16</c:f>
              <c:numCache>
                <c:formatCode>General</c:formatCode>
                <c:ptCount val="4"/>
                <c:pt idx="0">
                  <c:v>38591</c:v>
                </c:pt>
                <c:pt idx="1">
                  <c:v>38136</c:v>
                </c:pt>
                <c:pt idx="2">
                  <c:v>18634</c:v>
                </c:pt>
                <c:pt idx="3">
                  <c:v>18563</c:v>
                </c:pt>
              </c:numCache>
            </c:numRef>
          </c:val>
          <c:extLst>
            <c:ext xmlns:c15="http://schemas.microsoft.com/office/drawing/2012/chart" uri="{02D57815-91ED-43cb-92C2-25804820EDAC}">
              <c15:datalabelsRange>
                <c15:f>'Dashboard Pivot tables'!$H$13:$H$16</c15:f>
                <c15:dlblRangeCache>
                  <c:ptCount val="4"/>
                  <c:pt idx="0">
                    <c:v>E</c:v>
                  </c:pt>
                  <c:pt idx="1">
                    <c:v>N</c:v>
                  </c:pt>
                  <c:pt idx="2">
                    <c:v>S</c:v>
                  </c:pt>
                  <c:pt idx="3">
                    <c:v>W</c:v>
                  </c:pt>
                </c15:dlblRangeCache>
              </c15:datalabelsRange>
            </c:ext>
            <c:ext xmlns:c16="http://schemas.microsoft.com/office/drawing/2014/chart" uri="{C3380CC4-5D6E-409C-BE32-E72D297353CC}">
              <c16:uniqueId val="{00000008-E74C-48BC-8579-00D791DB7AB1}"/>
            </c:ext>
          </c:extLst>
        </c:ser>
        <c:dLbls>
          <c:showLegendKey val="0"/>
          <c:showVal val="1"/>
          <c:showCatName val="0"/>
          <c:showSerName val="0"/>
          <c:showPercent val="0"/>
          <c:showBubbleSize val="0"/>
          <c:showLeaderLines val="1"/>
        </c:dLbls>
        <c:firstSliceAng val="298"/>
        <c:holeSize val="4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[Month1_Week4_Practice(AutoRecovered).xlsx]Pivot tables!PivotTable6</c:name>
    <c:fmtId val="2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t>Top Performing Region</a:t>
            </a:r>
          </a:p>
        </c:rich>
      </c:tx>
      <c:layout>
        <c:manualLayout>
          <c:xMode val="edge"/>
          <c:yMode val="edge"/>
          <c:x val="0.35327282205938026"/>
          <c:y val="0.1552517604440693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D8FFF"/>
          </a:solidFill>
          <a:ln>
            <a:noFill/>
          </a:ln>
          <a:effectLst/>
        </c:spPr>
      </c:pivotFmt>
      <c:pivotFmt>
        <c:idx val="2"/>
        <c:spPr>
          <a:solidFill>
            <a:srgbClr val="5D8FFF"/>
          </a:solidFill>
          <a:ln>
            <a:noFill/>
          </a:ln>
          <a:effectLst/>
        </c:spPr>
      </c:pivotFmt>
      <c:pivotFmt>
        <c:idx val="3"/>
        <c:spPr>
          <a:solidFill>
            <a:srgbClr val="0150FF"/>
          </a:solidFill>
          <a:ln>
            <a:noFill/>
          </a:ln>
          <a:effectLst/>
        </c:spPr>
      </c:pivotFmt>
      <c:pivotFmt>
        <c:idx val="4"/>
        <c:spPr>
          <a:solidFill>
            <a:srgbClr val="0036B0"/>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36B0"/>
          </a:solidFill>
          <a:ln>
            <a:noFill/>
          </a:ln>
          <a:effectLst/>
        </c:spPr>
      </c:pivotFmt>
      <c:pivotFmt>
        <c:idx val="7"/>
        <c:spPr>
          <a:solidFill>
            <a:srgbClr val="0150FF"/>
          </a:solidFill>
          <a:ln>
            <a:noFill/>
          </a:ln>
          <a:effectLst/>
        </c:spPr>
      </c:pivotFmt>
      <c:pivotFmt>
        <c:idx val="8"/>
        <c:spPr>
          <a:solidFill>
            <a:srgbClr val="5D8FFF"/>
          </a:solidFill>
          <a:ln>
            <a:noFill/>
          </a:ln>
          <a:effectLst/>
        </c:spPr>
      </c:pivotFmt>
      <c:pivotFmt>
        <c:idx val="9"/>
        <c:spPr>
          <a:solidFill>
            <a:srgbClr val="5D8FFF"/>
          </a:solidFill>
          <a:ln>
            <a:noFill/>
          </a:ln>
          <a:effectLst/>
        </c:spPr>
      </c:pivotFmt>
      <c:pivotFmt>
        <c:idx val="10"/>
        <c:spPr>
          <a:solidFill>
            <a:schemeClr val="accent1"/>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036B0"/>
          </a:solidFill>
          <a:ln w="3175">
            <a:solidFill>
              <a:schemeClr val="bg1"/>
            </a:solidFill>
          </a:ln>
          <a:effectLst/>
        </c:spPr>
      </c:pivotFmt>
      <c:pivotFmt>
        <c:idx val="12"/>
        <c:spPr>
          <a:solidFill>
            <a:srgbClr val="0150FF"/>
          </a:solidFill>
          <a:ln w="3175">
            <a:solidFill>
              <a:schemeClr val="bg1"/>
            </a:solidFill>
          </a:ln>
          <a:effectLst/>
        </c:spPr>
      </c:pivotFmt>
      <c:pivotFmt>
        <c:idx val="13"/>
        <c:spPr>
          <a:solidFill>
            <a:srgbClr val="5D8FFF"/>
          </a:solidFill>
          <a:ln w="3175">
            <a:solidFill>
              <a:schemeClr val="bg1"/>
            </a:solidFill>
          </a:ln>
          <a:effectLst/>
        </c:spPr>
      </c:pivotFmt>
      <c:pivotFmt>
        <c:idx val="14"/>
        <c:spPr>
          <a:solidFill>
            <a:srgbClr val="5D8FFF"/>
          </a:solidFill>
          <a:ln w="3175">
            <a:solidFill>
              <a:schemeClr val="bg1"/>
            </a:solidFill>
          </a:ln>
          <a:effectLst/>
        </c:spPr>
      </c:pivotFmt>
      <c:pivotFmt>
        <c:idx val="15"/>
        <c:spPr>
          <a:solidFill>
            <a:schemeClr val="accent1"/>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0036B0"/>
          </a:solidFill>
          <a:ln w="3175">
            <a:solidFill>
              <a:schemeClr val="bg1"/>
            </a:solidFill>
          </a:ln>
          <a:effectLst/>
        </c:spPr>
      </c:pivotFmt>
      <c:pivotFmt>
        <c:idx val="17"/>
        <c:spPr>
          <a:solidFill>
            <a:srgbClr val="0150FF"/>
          </a:solidFill>
          <a:ln w="3175">
            <a:solidFill>
              <a:schemeClr val="bg1"/>
            </a:solidFill>
          </a:ln>
          <a:effectLst/>
        </c:spPr>
      </c:pivotFmt>
      <c:pivotFmt>
        <c:idx val="18"/>
        <c:spPr>
          <a:solidFill>
            <a:srgbClr val="5D8FFF"/>
          </a:solidFill>
          <a:ln w="3175">
            <a:solidFill>
              <a:schemeClr val="bg1"/>
            </a:solidFill>
          </a:ln>
          <a:effectLst/>
        </c:spPr>
      </c:pivotFmt>
      <c:pivotFmt>
        <c:idx val="19"/>
        <c:spPr>
          <a:solidFill>
            <a:srgbClr val="5D8FFF"/>
          </a:solidFill>
          <a:ln w="3175">
            <a:solidFill>
              <a:schemeClr val="bg1"/>
            </a:solidFill>
          </a:ln>
          <a:effectLst/>
        </c:spPr>
      </c:pivotFmt>
      <c:pivotFmt>
        <c:idx val="20"/>
        <c:spPr>
          <a:solidFill>
            <a:schemeClr val="accent1"/>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004EA4"/>
          </a:solidFill>
          <a:ln w="3175">
            <a:solidFill>
              <a:schemeClr val="bg1"/>
            </a:solidFill>
          </a:ln>
          <a:effectLst/>
        </c:spPr>
      </c:pivotFmt>
      <c:pivotFmt>
        <c:idx val="22"/>
        <c:spPr>
          <a:solidFill>
            <a:srgbClr val="007DE6"/>
          </a:solidFill>
          <a:ln w="3175">
            <a:solidFill>
              <a:schemeClr val="bg1"/>
            </a:solidFill>
          </a:ln>
          <a:effectLst/>
        </c:spPr>
      </c:pivotFmt>
      <c:pivotFmt>
        <c:idx val="23"/>
        <c:spPr>
          <a:solidFill>
            <a:srgbClr val="00B0F0"/>
          </a:solidFill>
          <a:ln w="3175">
            <a:solidFill>
              <a:schemeClr val="bg1"/>
            </a:solidFill>
          </a:ln>
          <a:effectLst/>
        </c:spPr>
      </c:pivotFmt>
      <c:pivotFmt>
        <c:idx val="24"/>
        <c:spPr>
          <a:solidFill>
            <a:srgbClr val="85C8FF"/>
          </a:solidFill>
          <a:ln w="3175">
            <a:solidFill>
              <a:schemeClr val="bg1"/>
            </a:solidFill>
          </a:ln>
          <a:effectLst/>
        </c:spPr>
      </c:pivotFmt>
      <c:pivotFmt>
        <c:idx val="25"/>
        <c:spPr>
          <a:solidFill>
            <a:schemeClr val="accent1"/>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rgbClr val="004EA4"/>
          </a:solidFill>
          <a:ln w="3175">
            <a:solidFill>
              <a:schemeClr val="bg1"/>
            </a:solidFill>
          </a:ln>
          <a:effectLst/>
        </c:spPr>
      </c:pivotFmt>
      <c:pivotFmt>
        <c:idx val="27"/>
        <c:spPr>
          <a:solidFill>
            <a:srgbClr val="007DE6"/>
          </a:solidFill>
          <a:ln w="3175">
            <a:solidFill>
              <a:schemeClr val="bg1"/>
            </a:solidFill>
          </a:ln>
          <a:effectLst/>
        </c:spPr>
      </c:pivotFmt>
      <c:pivotFmt>
        <c:idx val="28"/>
        <c:spPr>
          <a:solidFill>
            <a:srgbClr val="00B0F0"/>
          </a:solidFill>
          <a:ln w="3175">
            <a:solidFill>
              <a:schemeClr val="bg1"/>
            </a:solidFill>
          </a:ln>
          <a:effectLst/>
        </c:spPr>
      </c:pivotFmt>
      <c:pivotFmt>
        <c:idx val="29"/>
        <c:spPr>
          <a:solidFill>
            <a:srgbClr val="85C8FF"/>
          </a:solidFill>
          <a:ln w="3175">
            <a:solidFill>
              <a:schemeClr val="bg1"/>
            </a:solidFill>
          </a:ln>
          <a:effectLst/>
        </c:spPr>
      </c:pivotFmt>
      <c:pivotFmt>
        <c:idx val="30"/>
        <c:spPr>
          <a:solidFill>
            <a:schemeClr val="accent1"/>
          </a:solidFill>
          <a:ln w="31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004EA4"/>
          </a:solidFill>
          <a:ln w="3175">
            <a:solidFill>
              <a:schemeClr val="bg1"/>
            </a:solidFill>
          </a:ln>
          <a:effectLst/>
        </c:spPr>
      </c:pivotFmt>
      <c:pivotFmt>
        <c:idx val="32"/>
        <c:spPr>
          <a:solidFill>
            <a:srgbClr val="007DE6"/>
          </a:solidFill>
          <a:ln w="3175">
            <a:solidFill>
              <a:schemeClr val="bg1"/>
            </a:solidFill>
          </a:ln>
          <a:effectLst/>
        </c:spPr>
      </c:pivotFmt>
      <c:pivotFmt>
        <c:idx val="33"/>
        <c:spPr>
          <a:solidFill>
            <a:srgbClr val="00B0F0"/>
          </a:solidFill>
          <a:ln w="3175">
            <a:solidFill>
              <a:schemeClr val="bg1"/>
            </a:solidFill>
          </a:ln>
          <a:effectLst/>
        </c:spPr>
      </c:pivotFmt>
      <c:pivotFmt>
        <c:idx val="34"/>
        <c:spPr>
          <a:solidFill>
            <a:srgbClr val="85C8FF"/>
          </a:solidFill>
          <a:ln w="3175">
            <a:solidFill>
              <a:schemeClr val="bg1"/>
            </a:solidFill>
          </a:ln>
          <a:effectLst/>
        </c:spPr>
      </c:pivotFmt>
    </c:pivotFmts>
    <c:plotArea>
      <c:layout/>
      <c:barChart>
        <c:barDir val="bar"/>
        <c:grouping val="clustered"/>
        <c:varyColors val="0"/>
        <c:ser>
          <c:idx val="0"/>
          <c:order val="0"/>
          <c:tx>
            <c:strRef>
              <c:f>'Pivot tables'!$D$3</c:f>
              <c:strCache>
                <c:ptCount val="1"/>
                <c:pt idx="0">
                  <c:v>Total</c:v>
                </c:pt>
              </c:strCache>
            </c:strRef>
          </c:tx>
          <c:spPr>
            <a:solidFill>
              <a:schemeClr val="accent1"/>
            </a:solidFill>
            <a:ln w="3175">
              <a:solidFill>
                <a:schemeClr val="bg1"/>
              </a:solidFill>
            </a:ln>
            <a:effectLst/>
          </c:spPr>
          <c:invertIfNegative val="0"/>
          <c:dPt>
            <c:idx val="0"/>
            <c:invertIfNegative val="0"/>
            <c:bubble3D val="0"/>
            <c:spPr>
              <a:solidFill>
                <a:srgbClr val="004EA4"/>
              </a:solidFill>
              <a:ln w="3175">
                <a:solidFill>
                  <a:schemeClr val="bg1"/>
                </a:solidFill>
              </a:ln>
              <a:effectLst/>
            </c:spPr>
            <c:extLst>
              <c:ext xmlns:c16="http://schemas.microsoft.com/office/drawing/2014/chart" uri="{C3380CC4-5D6E-409C-BE32-E72D297353CC}">
                <c16:uniqueId val="{00000001-B9A6-47AE-B452-AC85DB2F04A5}"/>
              </c:ext>
            </c:extLst>
          </c:dPt>
          <c:dPt>
            <c:idx val="1"/>
            <c:invertIfNegative val="0"/>
            <c:bubble3D val="0"/>
            <c:spPr>
              <a:solidFill>
                <a:srgbClr val="007DE6"/>
              </a:solidFill>
              <a:ln w="3175">
                <a:solidFill>
                  <a:schemeClr val="bg1"/>
                </a:solidFill>
              </a:ln>
              <a:effectLst/>
            </c:spPr>
            <c:extLst>
              <c:ext xmlns:c16="http://schemas.microsoft.com/office/drawing/2014/chart" uri="{C3380CC4-5D6E-409C-BE32-E72D297353CC}">
                <c16:uniqueId val="{00000003-B9A6-47AE-B452-AC85DB2F04A5}"/>
              </c:ext>
            </c:extLst>
          </c:dPt>
          <c:dPt>
            <c:idx val="2"/>
            <c:invertIfNegative val="0"/>
            <c:bubble3D val="0"/>
            <c:spPr>
              <a:solidFill>
                <a:srgbClr val="00B0F0"/>
              </a:solidFill>
              <a:ln w="3175">
                <a:solidFill>
                  <a:schemeClr val="bg1"/>
                </a:solidFill>
              </a:ln>
              <a:effectLst/>
            </c:spPr>
            <c:extLst>
              <c:ext xmlns:c16="http://schemas.microsoft.com/office/drawing/2014/chart" uri="{C3380CC4-5D6E-409C-BE32-E72D297353CC}">
                <c16:uniqueId val="{00000005-B9A6-47AE-B452-AC85DB2F04A5}"/>
              </c:ext>
            </c:extLst>
          </c:dPt>
          <c:dPt>
            <c:idx val="3"/>
            <c:invertIfNegative val="0"/>
            <c:bubble3D val="0"/>
            <c:spPr>
              <a:solidFill>
                <a:srgbClr val="85C8FF"/>
              </a:solidFill>
              <a:ln w="3175">
                <a:solidFill>
                  <a:schemeClr val="bg1"/>
                </a:solidFill>
              </a:ln>
              <a:effectLst/>
            </c:spPr>
            <c:extLst>
              <c:ext xmlns:c16="http://schemas.microsoft.com/office/drawing/2014/chart" uri="{C3380CC4-5D6E-409C-BE32-E72D297353CC}">
                <c16:uniqueId val="{00000007-B9A6-47AE-B452-AC85DB2F04A5}"/>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tables'!$C$4:$C$8</c:f>
              <c:strCache>
                <c:ptCount val="4"/>
                <c:pt idx="0">
                  <c:v>West</c:v>
                </c:pt>
                <c:pt idx="1">
                  <c:v>South</c:v>
                </c:pt>
                <c:pt idx="2">
                  <c:v>East</c:v>
                </c:pt>
                <c:pt idx="3">
                  <c:v>North</c:v>
                </c:pt>
              </c:strCache>
            </c:strRef>
          </c:cat>
          <c:val>
            <c:numRef>
              <c:f>'Pivot tables'!$D$4:$D$8</c:f>
              <c:numCache>
                <c:formatCode>General</c:formatCode>
                <c:ptCount val="4"/>
                <c:pt idx="0">
                  <c:v>18563</c:v>
                </c:pt>
                <c:pt idx="1">
                  <c:v>18634</c:v>
                </c:pt>
                <c:pt idx="2">
                  <c:v>38591</c:v>
                </c:pt>
                <c:pt idx="3">
                  <c:v>39435</c:v>
                </c:pt>
              </c:numCache>
            </c:numRef>
          </c:val>
          <c:extLst>
            <c:ext xmlns:c16="http://schemas.microsoft.com/office/drawing/2014/chart" uri="{C3380CC4-5D6E-409C-BE32-E72D297353CC}">
              <c16:uniqueId val="{00000008-B9A6-47AE-B452-AC85DB2F04A5}"/>
            </c:ext>
          </c:extLst>
        </c:ser>
        <c:dLbls>
          <c:dLblPos val="outEnd"/>
          <c:showLegendKey val="0"/>
          <c:showVal val="1"/>
          <c:showCatName val="0"/>
          <c:showSerName val="0"/>
          <c:showPercent val="0"/>
          <c:showBubbleSize val="0"/>
        </c:dLbls>
        <c:gapWidth val="182"/>
        <c:axId val="1650449439"/>
        <c:axId val="1621600927"/>
      </c:barChart>
      <c:catAx>
        <c:axId val="1650449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21600927"/>
        <c:crosses val="autoZero"/>
        <c:auto val="1"/>
        <c:lblAlgn val="ctr"/>
        <c:lblOffset val="100"/>
        <c:noMultiLvlLbl val="0"/>
      </c:catAx>
      <c:valAx>
        <c:axId val="16216009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50449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[Month1_Week4_Practice(AutoRecovered).xlsx]Pivot tables!PivotTable8</c:name>
    <c:fmtId val="3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t>Revenue Growth By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508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50800" cap="rnd">
            <a:solidFill>
              <a:srgbClr val="CDE7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2A3DC7B7-7BE5-45EB-AEE2-AAD1D8542466}"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solidFill>
          <a:ln w="50800" cap="rnd">
            <a:solidFill>
              <a:srgbClr val="61B4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3E0C856F-B4A7-474C-AC99-1BDC44F4FB3E}"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solidFill>
          <a:ln w="50800" cap="rnd">
            <a:solidFill>
              <a:srgbClr val="0588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B1E3807A-D67F-4609-883C-E0E5D8DE4489}"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w="50800" cap="rnd">
            <a:solidFill>
              <a:srgbClr val="0588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B0186B7A-E4D9-4CBC-97AC-301EB25AB10D}"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solidFill>
          <a:ln w="50800" cap="rnd">
            <a:solidFill>
              <a:srgbClr val="0081F6"/>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98C45CEB-DBD3-457A-82B3-D10439A3DC43}"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solidFill>
          <a:ln w="63500" cap="rnd">
            <a:solidFill>
              <a:srgbClr val="FF480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3943143F-C1F3-43FF-8166-4EFEC5939C18}"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solidFill>
          <a:ln w="508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63500" cap="rnd">
            <a:solidFill>
              <a:srgbClr val="FF480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3943143F-C1F3-43FF-8166-4EFEC5939C18}"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1"/>
          </a:solidFill>
          <a:ln w="50800" cap="rnd">
            <a:solidFill>
              <a:srgbClr val="CDE7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2A3DC7B7-7BE5-45EB-AEE2-AAD1D8542466}"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solidFill>
          <a:ln w="50800" cap="rnd">
            <a:solidFill>
              <a:srgbClr val="61B4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3E0C856F-B4A7-474C-AC99-1BDC44F4FB3E}"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1"/>
          </a:solidFill>
          <a:ln w="50800" cap="rnd">
            <a:solidFill>
              <a:srgbClr val="0588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B1E3807A-D67F-4609-883C-E0E5D8DE4489}"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1"/>
          </a:solidFill>
          <a:ln w="50800" cap="rnd">
            <a:solidFill>
              <a:srgbClr val="0588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B0186B7A-E4D9-4CBC-97AC-301EB25AB10D}"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chemeClr val="accent1"/>
          </a:solidFill>
          <a:ln w="50800" cap="rnd">
            <a:solidFill>
              <a:srgbClr val="0081F6"/>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98C45CEB-DBD3-457A-82B3-D10439A3DC43}"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1"/>
          </a:solidFill>
          <a:ln w="508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63500" cap="rnd">
            <a:solidFill>
              <a:srgbClr val="FF480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3943143F-C1F3-43FF-8166-4EFEC5939C18}"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chemeClr val="accent1"/>
          </a:solidFill>
          <a:ln w="50800" cap="rnd">
            <a:solidFill>
              <a:srgbClr val="CDE7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2A3DC7B7-7BE5-45EB-AEE2-AAD1D8542466}"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7"/>
        <c:spPr>
          <a:solidFill>
            <a:schemeClr val="accent1"/>
          </a:solidFill>
          <a:ln w="50800" cap="rnd">
            <a:solidFill>
              <a:srgbClr val="61B4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3E0C856F-B4A7-474C-AC99-1BDC44F4FB3E}"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spPr>
          <a:solidFill>
            <a:schemeClr val="accent1"/>
          </a:solidFill>
          <a:ln w="50800" cap="rnd">
            <a:solidFill>
              <a:srgbClr val="0588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B1E3807A-D67F-4609-883C-E0E5D8DE4489}"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9"/>
        <c:spPr>
          <a:solidFill>
            <a:schemeClr val="accent1"/>
          </a:solidFill>
          <a:ln w="50800" cap="rnd">
            <a:solidFill>
              <a:srgbClr val="0588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B0186B7A-E4D9-4CBC-97AC-301EB25AB10D}"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solidFill>
            <a:schemeClr val="accent1"/>
          </a:solidFill>
          <a:ln w="50800" cap="rnd">
            <a:solidFill>
              <a:srgbClr val="0081F6"/>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98C45CEB-DBD3-457A-82B3-D10439A3DC43}"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1"/>
        <c:spPr>
          <a:solidFill>
            <a:schemeClr val="accent1"/>
          </a:solidFill>
          <a:ln w="508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63500" cap="rnd">
            <a:solidFill>
              <a:srgbClr val="FF480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3943143F-C1F3-43FF-8166-4EFEC5939C18}"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3"/>
        <c:spPr>
          <a:solidFill>
            <a:schemeClr val="accent1"/>
          </a:solidFill>
          <a:ln w="50800" cap="rnd">
            <a:solidFill>
              <a:srgbClr val="CDE7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2A3DC7B7-7BE5-45EB-AEE2-AAD1D8542466}"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4"/>
        <c:spPr>
          <a:solidFill>
            <a:schemeClr val="accent1"/>
          </a:solidFill>
          <a:ln w="50800" cap="rnd">
            <a:solidFill>
              <a:srgbClr val="61B4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3E0C856F-B4A7-474C-AC99-1BDC44F4FB3E}"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5"/>
        <c:spPr>
          <a:solidFill>
            <a:schemeClr val="accent1"/>
          </a:solidFill>
          <a:ln w="50800" cap="rnd">
            <a:solidFill>
              <a:srgbClr val="0588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B1E3807A-D67F-4609-883C-E0E5D8DE4489}"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6"/>
        <c:spPr>
          <a:solidFill>
            <a:schemeClr val="accent1"/>
          </a:solidFill>
          <a:ln w="50800" cap="rnd">
            <a:solidFill>
              <a:srgbClr val="0588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B0186B7A-E4D9-4CBC-97AC-301EB25AB10D}"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7"/>
        <c:spPr>
          <a:solidFill>
            <a:schemeClr val="accent1"/>
          </a:solidFill>
          <a:ln w="50800" cap="rnd">
            <a:solidFill>
              <a:srgbClr val="0081F6"/>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98C45CEB-DBD3-457A-82B3-D10439A3DC43}"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8"/>
        <c:spPr>
          <a:solidFill>
            <a:schemeClr val="accent1"/>
          </a:solidFill>
          <a:ln w="508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63500" cap="rnd">
            <a:solidFill>
              <a:srgbClr val="FF480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3943143F-C1F3-43FF-8166-4EFEC5939C18}"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0"/>
        <c:spPr>
          <a:solidFill>
            <a:schemeClr val="accent1"/>
          </a:solidFill>
          <a:ln w="50800" cap="rnd">
            <a:solidFill>
              <a:srgbClr val="CDE7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2A3DC7B7-7BE5-45EB-AEE2-AAD1D8542466}"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1"/>
        <c:spPr>
          <a:solidFill>
            <a:schemeClr val="accent1"/>
          </a:solidFill>
          <a:ln w="50800" cap="rnd">
            <a:solidFill>
              <a:srgbClr val="61B4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3E0C856F-B4A7-474C-AC99-1BDC44F4FB3E}"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2"/>
        <c:spPr>
          <a:solidFill>
            <a:schemeClr val="accent1"/>
          </a:solidFill>
          <a:ln w="50800" cap="rnd">
            <a:solidFill>
              <a:srgbClr val="0588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B1E3807A-D67F-4609-883C-E0E5D8DE4489}"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3"/>
        <c:spPr>
          <a:solidFill>
            <a:schemeClr val="accent1"/>
          </a:solidFill>
          <a:ln w="50800" cap="rnd">
            <a:solidFill>
              <a:srgbClr val="0588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B0186B7A-E4D9-4CBC-97AC-301EB25AB10D}"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4"/>
        <c:spPr>
          <a:solidFill>
            <a:schemeClr val="accent1"/>
          </a:solidFill>
          <a:ln w="50800" cap="rnd">
            <a:solidFill>
              <a:srgbClr val="0081F6"/>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98C45CEB-DBD3-457A-82B3-D10439A3DC43}"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5"/>
        <c:spPr>
          <a:solidFill>
            <a:schemeClr val="accent1"/>
          </a:solidFill>
          <a:ln w="508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63500" cap="rnd">
            <a:solidFill>
              <a:srgbClr val="FF480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3943143F-C1F3-43FF-8166-4EFEC5939C18}"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7"/>
        <c:spPr>
          <a:solidFill>
            <a:schemeClr val="accent1"/>
          </a:solidFill>
          <a:ln w="50800" cap="rnd">
            <a:solidFill>
              <a:srgbClr val="CDE7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2A3DC7B7-7BE5-45EB-AEE2-AAD1D8542466}"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8"/>
        <c:spPr>
          <a:solidFill>
            <a:schemeClr val="accent1"/>
          </a:solidFill>
          <a:ln w="50800" cap="rnd">
            <a:solidFill>
              <a:srgbClr val="61B4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3E0C856F-B4A7-474C-AC99-1BDC44F4FB3E}"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9"/>
        <c:spPr>
          <a:solidFill>
            <a:schemeClr val="accent1"/>
          </a:solidFill>
          <a:ln w="50800" cap="rnd">
            <a:solidFill>
              <a:srgbClr val="0588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B1E3807A-D67F-4609-883C-E0E5D8DE4489}"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0"/>
        <c:spPr>
          <a:solidFill>
            <a:schemeClr val="accent1"/>
          </a:solidFill>
          <a:ln w="50800" cap="rnd">
            <a:solidFill>
              <a:srgbClr val="0588FF"/>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B0186B7A-E4D9-4CBC-97AC-301EB25AB10D}"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1"/>
        <c:spPr>
          <a:solidFill>
            <a:schemeClr val="accent1"/>
          </a:solidFill>
          <a:ln w="50800" cap="rnd">
            <a:solidFill>
              <a:srgbClr val="0081F6"/>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98C45CEB-DBD3-457A-82B3-D10439A3DC43}" type="VALUE">
                  <a:rPr lang="en-US"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2"/>
        <c:spPr>
          <a:ln w="50800"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3"/>
        <c:spPr>
          <a:ln w="63500" cap="rnd">
            <a:solidFill>
              <a:srgbClr val="FF480F"/>
            </a:solidFill>
            <a:round/>
          </a:ln>
          <a:effectLst/>
        </c:spPr>
        <c:marker>
          <c:symbol val="none"/>
        </c:marker>
        <c:dLbl>
          <c:idx val="0"/>
          <c:tx>
            <c:rich>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fld id="{3943143F-C1F3-43FF-8166-4EFEC5939C18}" type="VALUE">
                  <a:rPr lang="en-US"/>
                  <a:pPr>
                    <a:defRPr/>
                  </a:pPr>
                  <a:t>[VALUE]</a:t>
                </a:fld>
                <a:endParaRPr lang="en-US"/>
              </a:p>
            </c:rich>
          </c:tx>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4"/>
        <c:spPr>
          <a:ln w="50800" cap="rnd">
            <a:solidFill>
              <a:srgbClr val="CDE7FF"/>
            </a:solidFill>
            <a:round/>
          </a:ln>
          <a:effectLst/>
        </c:spPr>
        <c:marker>
          <c:symbol val="none"/>
        </c:marker>
        <c:dLbl>
          <c:idx val="0"/>
          <c:tx>
            <c:rich>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fld id="{2A3DC7B7-7BE5-45EB-AEE2-AAD1D8542466}" type="VALUE">
                  <a:rPr lang="en-US"/>
                  <a:pPr>
                    <a:defRPr/>
                  </a:pPr>
                  <a:t>[VALUE]</a:t>
                </a:fld>
                <a:endParaRPr lang="en-US"/>
              </a:p>
            </c:rich>
          </c:tx>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5"/>
        <c:spPr>
          <a:ln w="50800" cap="rnd">
            <a:solidFill>
              <a:srgbClr val="61B4FF"/>
            </a:solidFill>
            <a:round/>
          </a:ln>
          <a:effectLst/>
        </c:spPr>
        <c:marker>
          <c:symbol val="none"/>
        </c:marker>
        <c:dLbl>
          <c:idx val="0"/>
          <c:tx>
            <c:rich>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fld id="{3E0C856F-B4A7-474C-AC99-1BDC44F4FB3E}" type="VALUE">
                  <a:rPr lang="en-US"/>
                  <a:pPr>
                    <a:defRPr/>
                  </a:pPr>
                  <a:t>[VALUE]</a:t>
                </a:fld>
                <a:endParaRPr lang="en-US"/>
              </a:p>
            </c:rich>
          </c:tx>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6"/>
        <c:spPr>
          <a:ln w="50800" cap="rnd">
            <a:solidFill>
              <a:srgbClr val="0588FF"/>
            </a:solidFill>
            <a:round/>
          </a:ln>
          <a:effectLst/>
        </c:spPr>
        <c:marker>
          <c:symbol val="none"/>
        </c:marker>
        <c:dLbl>
          <c:idx val="0"/>
          <c:tx>
            <c:rich>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fld id="{B1E3807A-D67F-4609-883C-E0E5D8DE4489}" type="VALUE">
                  <a:rPr lang="en-US"/>
                  <a:pPr>
                    <a:defRPr/>
                  </a:pPr>
                  <a:t>[VALUE]</a:t>
                </a:fld>
                <a:endParaRPr lang="en-US"/>
              </a:p>
            </c:rich>
          </c:tx>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7"/>
        <c:spPr>
          <a:ln w="50800" cap="rnd">
            <a:solidFill>
              <a:srgbClr val="0588FF"/>
            </a:solidFill>
            <a:round/>
          </a:ln>
          <a:effectLst/>
        </c:spPr>
        <c:marker>
          <c:symbol val="none"/>
        </c:marker>
        <c:dLbl>
          <c:idx val="0"/>
          <c:tx>
            <c:rich>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fld id="{B0186B7A-E4D9-4CBC-97AC-301EB25AB10D}" type="VALUE">
                  <a:rPr lang="en-US"/>
                  <a:pPr>
                    <a:defRPr/>
                  </a:pPr>
                  <a:t>[VALUE]</a:t>
                </a:fld>
                <a:endParaRPr lang="en-US"/>
              </a:p>
            </c:rich>
          </c:tx>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8"/>
        <c:spPr>
          <a:ln w="50800" cap="rnd">
            <a:solidFill>
              <a:srgbClr val="0081F6"/>
            </a:solidFill>
            <a:round/>
          </a:ln>
          <a:effectLst/>
        </c:spPr>
        <c:marker>
          <c:symbol val="none"/>
        </c:marker>
        <c:dLbl>
          <c:idx val="0"/>
          <c:tx>
            <c:rich>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fld id="{98C45CEB-DBD3-457A-82B3-D10439A3DC43}" type="VALUE">
                  <a:rPr lang="en-US"/>
                  <a:pPr>
                    <a:defRPr/>
                  </a:pPr>
                  <a:t>[VALUE]</a:t>
                </a:fld>
                <a:endParaRPr lang="en-US"/>
              </a:p>
            </c:rich>
          </c:tx>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lineChart>
        <c:grouping val="standard"/>
        <c:varyColors val="1"/>
        <c:ser>
          <c:idx val="0"/>
          <c:order val="0"/>
          <c:tx>
            <c:strRef>
              <c:f>'Pivot tables'!$B$10</c:f>
              <c:strCache>
                <c:ptCount val="1"/>
                <c:pt idx="0">
                  <c:v>Total</c:v>
                </c:pt>
              </c:strCache>
            </c:strRef>
          </c:tx>
          <c:spPr>
            <a:ln w="50800"/>
          </c:spPr>
          <c:marker>
            <c:symbol val="none"/>
          </c:marker>
          <c:dPt>
            <c:idx val="0"/>
            <c:marker>
              <c:symbol val="none"/>
            </c:marker>
            <c:bubble3D val="0"/>
            <c:spPr>
              <a:ln w="63500" cap="rnd">
                <a:solidFill>
                  <a:srgbClr val="FF480F"/>
                </a:solidFill>
                <a:round/>
              </a:ln>
              <a:effectLst/>
            </c:spPr>
            <c:extLst>
              <c:ext xmlns:c16="http://schemas.microsoft.com/office/drawing/2014/chart" uri="{C3380CC4-5D6E-409C-BE32-E72D297353CC}">
                <c16:uniqueId val="{00000001-03A1-4C42-96B9-04A564A2AEE7}"/>
              </c:ext>
            </c:extLst>
          </c:dPt>
          <c:dPt>
            <c:idx val="1"/>
            <c:marker>
              <c:symbol val="none"/>
            </c:marker>
            <c:bubble3D val="0"/>
            <c:spPr>
              <a:ln w="50800" cap="rnd">
                <a:solidFill>
                  <a:srgbClr val="CDE7FF"/>
                </a:solidFill>
                <a:round/>
              </a:ln>
              <a:effectLst/>
            </c:spPr>
            <c:extLst>
              <c:ext xmlns:c16="http://schemas.microsoft.com/office/drawing/2014/chart" uri="{C3380CC4-5D6E-409C-BE32-E72D297353CC}">
                <c16:uniqueId val="{00000003-03A1-4C42-96B9-04A564A2AEE7}"/>
              </c:ext>
            </c:extLst>
          </c:dPt>
          <c:dPt>
            <c:idx val="2"/>
            <c:marker>
              <c:symbol val="none"/>
            </c:marker>
            <c:bubble3D val="0"/>
            <c:spPr>
              <a:ln w="50800" cap="rnd">
                <a:solidFill>
                  <a:srgbClr val="61B4FF"/>
                </a:solidFill>
                <a:round/>
              </a:ln>
              <a:effectLst/>
            </c:spPr>
            <c:extLst>
              <c:ext xmlns:c16="http://schemas.microsoft.com/office/drawing/2014/chart" uri="{C3380CC4-5D6E-409C-BE32-E72D297353CC}">
                <c16:uniqueId val="{00000005-03A1-4C42-96B9-04A564A2AEE7}"/>
              </c:ext>
            </c:extLst>
          </c:dPt>
          <c:dPt>
            <c:idx val="3"/>
            <c:marker>
              <c:symbol val="none"/>
            </c:marker>
            <c:bubble3D val="0"/>
            <c:spPr>
              <a:ln w="50800" cap="rnd">
                <a:solidFill>
                  <a:srgbClr val="0588FF"/>
                </a:solidFill>
                <a:round/>
              </a:ln>
              <a:effectLst/>
            </c:spPr>
            <c:extLst>
              <c:ext xmlns:c16="http://schemas.microsoft.com/office/drawing/2014/chart" uri="{C3380CC4-5D6E-409C-BE32-E72D297353CC}">
                <c16:uniqueId val="{00000007-03A1-4C42-96B9-04A564A2AEE7}"/>
              </c:ext>
            </c:extLst>
          </c:dPt>
          <c:dPt>
            <c:idx val="4"/>
            <c:marker>
              <c:symbol val="none"/>
            </c:marker>
            <c:bubble3D val="0"/>
            <c:spPr>
              <a:ln w="50800" cap="rnd">
                <a:solidFill>
                  <a:srgbClr val="0588FF"/>
                </a:solidFill>
                <a:round/>
              </a:ln>
              <a:effectLst/>
            </c:spPr>
            <c:extLst>
              <c:ext xmlns:c16="http://schemas.microsoft.com/office/drawing/2014/chart" uri="{C3380CC4-5D6E-409C-BE32-E72D297353CC}">
                <c16:uniqueId val="{00000009-03A1-4C42-96B9-04A564A2AEE7}"/>
              </c:ext>
            </c:extLst>
          </c:dPt>
          <c:dPt>
            <c:idx val="5"/>
            <c:marker>
              <c:symbol val="none"/>
            </c:marker>
            <c:bubble3D val="0"/>
            <c:spPr>
              <a:ln w="50800" cap="rnd">
                <a:solidFill>
                  <a:srgbClr val="0081F6"/>
                </a:solidFill>
                <a:round/>
              </a:ln>
              <a:effectLst/>
            </c:spPr>
            <c:extLst>
              <c:ext xmlns:c16="http://schemas.microsoft.com/office/drawing/2014/chart" uri="{C3380CC4-5D6E-409C-BE32-E72D297353CC}">
                <c16:uniqueId val="{0000000B-03A1-4C42-96B9-04A564A2AEE7}"/>
              </c:ext>
            </c:extLst>
          </c:dPt>
          <c:dLbls>
            <c:dLbl>
              <c:idx val="0"/>
              <c:tx>
                <c:rich>
                  <a:bodyPr/>
                  <a:lstStyle/>
                  <a:p>
                    <a:fld id="{3943143F-C1F3-43FF-8166-4EFEC5939C18}" type="VALUE">
                      <a:rPr lang="en-US"/>
                      <a:pPr/>
                      <a:t>[VALUE]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3A1-4C42-96B9-04A564A2AEE7}"/>
                </c:ext>
              </c:extLst>
            </c:dLbl>
            <c:dLbl>
              <c:idx val="1"/>
              <c:tx>
                <c:rich>
                  <a:bodyPr/>
                  <a:lstStyle/>
                  <a:p>
                    <a:fld id="{2A3DC7B7-7BE5-45EB-AEE2-AAD1D8542466}" type="VALUE">
                      <a:rPr lang="en-US"/>
                      <a:pPr/>
                      <a:t>[VALUE]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3A1-4C42-96B9-04A564A2AEE7}"/>
                </c:ext>
              </c:extLst>
            </c:dLbl>
            <c:dLbl>
              <c:idx val="2"/>
              <c:tx>
                <c:rich>
                  <a:bodyPr/>
                  <a:lstStyle/>
                  <a:p>
                    <a:fld id="{3E0C856F-B4A7-474C-AC99-1BDC44F4FB3E}" type="VALUE">
                      <a:rPr lang="en-US"/>
                      <a:pPr/>
                      <a:t>[VALUE]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03A1-4C42-96B9-04A564A2AEE7}"/>
                </c:ext>
              </c:extLst>
            </c:dLbl>
            <c:dLbl>
              <c:idx val="3"/>
              <c:tx>
                <c:rich>
                  <a:bodyPr/>
                  <a:lstStyle/>
                  <a:p>
                    <a:fld id="{B1E3807A-D67F-4609-883C-E0E5D8DE4489}" type="VALUE">
                      <a:rPr lang="en-US"/>
                      <a:pPr/>
                      <a:t>[VALUE]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03A1-4C42-96B9-04A564A2AEE7}"/>
                </c:ext>
              </c:extLst>
            </c:dLbl>
            <c:dLbl>
              <c:idx val="4"/>
              <c:tx>
                <c:rich>
                  <a:bodyPr/>
                  <a:lstStyle/>
                  <a:p>
                    <a:fld id="{B0186B7A-E4D9-4CBC-97AC-301EB25AB10D}" type="VALUE">
                      <a:rPr lang="en-US"/>
                      <a:pPr/>
                      <a:t>[VALUE]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03A1-4C42-96B9-04A564A2AEE7}"/>
                </c:ext>
              </c:extLst>
            </c:dLbl>
            <c:dLbl>
              <c:idx val="5"/>
              <c:tx>
                <c:rich>
                  <a:bodyPr/>
                  <a:lstStyle/>
                  <a:p>
                    <a:fld id="{98C45CEB-DBD3-457A-82B3-D10439A3DC43}" type="VALUE">
                      <a:rPr lang="en-US"/>
                      <a:pPr/>
                      <a:t>[VALUE]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03A1-4C42-96B9-04A564A2AEE7}"/>
                </c:ext>
              </c:extLst>
            </c:dLbl>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25400" cap="rnd">
                <a:solidFill>
                  <a:srgbClr val="FF480F"/>
                </a:solidFill>
                <a:prstDash val="solid"/>
              </a:ln>
              <a:effectLst/>
            </c:spPr>
            <c:trendlineType val="power"/>
            <c:dispRSqr val="0"/>
            <c:dispEq val="0"/>
          </c:trendline>
          <c:cat>
            <c:strRef>
              <c:f>'Pivot tables'!$A$11:$A$17</c:f>
              <c:strCache>
                <c:ptCount val="6"/>
                <c:pt idx="0">
                  <c:v>January</c:v>
                </c:pt>
                <c:pt idx="1">
                  <c:v>February</c:v>
                </c:pt>
                <c:pt idx="2">
                  <c:v>March</c:v>
                </c:pt>
                <c:pt idx="3">
                  <c:v>April</c:v>
                </c:pt>
                <c:pt idx="4">
                  <c:v>May</c:v>
                </c:pt>
                <c:pt idx="5">
                  <c:v>June</c:v>
                </c:pt>
              </c:strCache>
            </c:strRef>
          </c:cat>
          <c:val>
            <c:numRef>
              <c:f>'Pivot tables'!$B$11:$B$17</c:f>
              <c:numCache>
                <c:formatCode>General</c:formatCode>
                <c:ptCount val="6"/>
                <c:pt idx="0">
                  <c:v>42130</c:v>
                </c:pt>
                <c:pt idx="1">
                  <c:v>21101</c:v>
                </c:pt>
                <c:pt idx="2">
                  <c:v>18666</c:v>
                </c:pt>
                <c:pt idx="3">
                  <c:v>7129</c:v>
                </c:pt>
                <c:pt idx="4">
                  <c:v>17230</c:v>
                </c:pt>
                <c:pt idx="5">
                  <c:v>8967</c:v>
                </c:pt>
              </c:numCache>
            </c:numRef>
          </c:val>
          <c:smooth val="0"/>
          <c:extLst>
            <c:ext xmlns:c16="http://schemas.microsoft.com/office/drawing/2014/chart" uri="{C3380CC4-5D6E-409C-BE32-E72D297353CC}">
              <c16:uniqueId val="{0000000D-03A1-4C42-96B9-04A564A2AEE7}"/>
            </c:ext>
          </c:extLst>
        </c:ser>
        <c:dLbls>
          <c:dLblPos val="t"/>
          <c:showLegendKey val="0"/>
          <c:showVal val="1"/>
          <c:showCatName val="0"/>
          <c:showSerName val="0"/>
          <c:showPercent val="0"/>
          <c:showBubbleSize val="0"/>
        </c:dLbls>
        <c:smooth val="0"/>
        <c:axId val="1633039119"/>
        <c:axId val="1621592767"/>
      </c:lineChart>
      <c:catAx>
        <c:axId val="1633039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21592767"/>
        <c:crosses val="autoZero"/>
        <c:auto val="1"/>
        <c:lblAlgn val="ctr"/>
        <c:lblOffset val="100"/>
        <c:noMultiLvlLbl val="0"/>
      </c:catAx>
      <c:valAx>
        <c:axId val="1621592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33039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[Month1_Week4_Practice(AutoRecovered).xlsx]Sheet1!PivotTable1</c:name>
    <c:fmtId val="6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Category</a:t>
            </a:r>
            <a:r>
              <a:rPr lang="en-US" b="1" baseline="0">
                <a:solidFill>
                  <a:schemeClr val="tx1"/>
                </a:solidFill>
              </a:rPr>
              <a:t> Growth By Revenue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1E8FF"/>
          </a:solidFill>
          <a:ln w="44450" cap="rnd">
            <a:solidFill>
              <a:srgbClr val="D1E8FF"/>
            </a:solidFill>
            <a:bevel/>
          </a:ln>
          <a:effectLst/>
          <a:sp3d contourW="44450">
            <a:contourClr>
              <a:srgbClr val="D1E8FF"/>
            </a:contourClr>
          </a:sp3d>
        </c:spPr>
      </c:pivotFmt>
      <c:pivotFmt>
        <c:idx val="2"/>
        <c:spPr>
          <a:solidFill>
            <a:srgbClr val="1960FF"/>
          </a:solidFill>
          <a:ln w="28575" cap="rnd" cmpd="sng">
            <a:solidFill>
              <a:srgbClr val="1960FF"/>
            </a:solidFill>
            <a:bevel/>
          </a:ln>
          <a:effectLst/>
          <a:sp3d contourW="28575">
            <a:contourClr>
              <a:srgbClr val="1960FF"/>
            </a:contourClr>
          </a:sp3d>
        </c:spPr>
      </c:pivotFmt>
      <c:pivotFmt>
        <c:idx val="3"/>
        <c:spPr>
          <a:solidFill>
            <a:srgbClr val="0036B0"/>
          </a:solidFill>
          <a:ln w="15875" cap="rnd">
            <a:solidFill>
              <a:srgbClr val="0036B0"/>
            </a:solidFill>
            <a:bevel/>
          </a:ln>
          <a:effectLst/>
          <a:sp3d contourW="15875">
            <a:contourClr>
              <a:srgbClr val="0036B0"/>
            </a:contourClr>
          </a:sp3d>
        </c:spPr>
      </c:pivotFmt>
      <c:pivotFmt>
        <c:idx val="4"/>
        <c:spPr>
          <a:solidFill>
            <a:srgbClr val="5D8FFF"/>
          </a:solidFill>
          <a:ln w="31750" cap="rnd">
            <a:solidFill>
              <a:srgbClr val="5D8FFF"/>
            </a:solidFill>
            <a:bevel/>
          </a:ln>
          <a:effectLst/>
          <a:sp3d contourW="31750">
            <a:contourClr>
              <a:srgbClr val="5D8FFF"/>
            </a:contourClr>
          </a:sp3d>
        </c:spPr>
      </c:pivotFmt>
      <c:pivotFmt>
        <c:idx val="5"/>
        <c:spPr>
          <a:solidFill>
            <a:srgbClr val="9FBDFF"/>
          </a:solidFill>
          <a:ln w="31750" cap="rnd">
            <a:solidFill>
              <a:srgbClr val="9FBDFF"/>
            </a:solidFill>
            <a:bevel/>
          </a:ln>
          <a:effectLst/>
          <a:sp3d contourW="31750">
            <a:contourClr>
              <a:srgbClr val="9FBDFF"/>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1E8FF"/>
          </a:solidFill>
          <a:ln w="44450" cap="rnd">
            <a:solidFill>
              <a:srgbClr val="D1E8FF"/>
            </a:solidFill>
            <a:bevel/>
          </a:ln>
          <a:effectLst/>
          <a:sp3d contourW="44450">
            <a:contourClr>
              <a:srgbClr val="D1E8FF"/>
            </a:contourClr>
          </a:sp3d>
        </c:spPr>
      </c:pivotFmt>
      <c:pivotFmt>
        <c:idx val="8"/>
        <c:spPr>
          <a:solidFill>
            <a:srgbClr val="9FBDFF"/>
          </a:solidFill>
          <a:ln w="31750" cap="rnd">
            <a:solidFill>
              <a:srgbClr val="9FBDFF"/>
            </a:solidFill>
            <a:bevel/>
          </a:ln>
          <a:effectLst/>
          <a:sp3d contourW="31750">
            <a:contourClr>
              <a:srgbClr val="9FBDFF"/>
            </a:contourClr>
          </a:sp3d>
        </c:spPr>
      </c:pivotFmt>
      <c:pivotFmt>
        <c:idx val="9"/>
        <c:spPr>
          <a:solidFill>
            <a:srgbClr val="5D8FFF"/>
          </a:solidFill>
          <a:ln w="31750" cap="rnd">
            <a:solidFill>
              <a:srgbClr val="5D8FFF"/>
            </a:solidFill>
            <a:bevel/>
          </a:ln>
          <a:effectLst/>
          <a:sp3d contourW="31750">
            <a:contourClr>
              <a:srgbClr val="5D8FFF"/>
            </a:contourClr>
          </a:sp3d>
        </c:spPr>
      </c:pivotFmt>
      <c:pivotFmt>
        <c:idx val="10"/>
        <c:spPr>
          <a:solidFill>
            <a:srgbClr val="1960FF"/>
          </a:solidFill>
          <a:ln w="28575" cap="rnd" cmpd="sng">
            <a:solidFill>
              <a:srgbClr val="1960FF"/>
            </a:solidFill>
            <a:bevel/>
          </a:ln>
          <a:effectLst/>
          <a:sp3d contourW="28575">
            <a:contourClr>
              <a:srgbClr val="1960FF"/>
            </a:contourClr>
          </a:sp3d>
        </c:spPr>
      </c:pivotFmt>
      <c:pivotFmt>
        <c:idx val="11"/>
        <c:spPr>
          <a:solidFill>
            <a:srgbClr val="0036B0"/>
          </a:solidFill>
          <a:ln w="15875" cap="rnd">
            <a:solidFill>
              <a:srgbClr val="0036B0"/>
            </a:solidFill>
            <a:bevel/>
          </a:ln>
          <a:effectLst/>
          <a:sp3d contourW="15875">
            <a:contourClr>
              <a:srgbClr val="0036B0"/>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D1E8FF"/>
          </a:solidFill>
          <a:ln w="44450" cap="rnd">
            <a:solidFill>
              <a:srgbClr val="D1E8FF"/>
            </a:solidFill>
            <a:bevel/>
          </a:ln>
          <a:effectLst/>
          <a:sp3d contourW="44450">
            <a:contourClr>
              <a:srgbClr val="D1E8FF"/>
            </a:contourClr>
          </a:sp3d>
        </c:spPr>
      </c:pivotFmt>
      <c:pivotFmt>
        <c:idx val="14"/>
        <c:spPr>
          <a:solidFill>
            <a:srgbClr val="9FBDFF"/>
          </a:solidFill>
          <a:ln w="31750" cap="rnd">
            <a:solidFill>
              <a:srgbClr val="9FBDFF"/>
            </a:solidFill>
            <a:bevel/>
          </a:ln>
          <a:effectLst/>
          <a:sp3d contourW="31750">
            <a:contourClr>
              <a:srgbClr val="9FBDFF"/>
            </a:contourClr>
          </a:sp3d>
        </c:spPr>
      </c:pivotFmt>
      <c:pivotFmt>
        <c:idx val="15"/>
        <c:spPr>
          <a:solidFill>
            <a:srgbClr val="5D8FFF"/>
          </a:solidFill>
          <a:ln w="31750" cap="rnd">
            <a:solidFill>
              <a:srgbClr val="5D8FFF"/>
            </a:solidFill>
            <a:bevel/>
          </a:ln>
          <a:effectLst/>
          <a:sp3d contourW="31750">
            <a:contourClr>
              <a:srgbClr val="5D8FFF"/>
            </a:contourClr>
          </a:sp3d>
        </c:spPr>
      </c:pivotFmt>
      <c:pivotFmt>
        <c:idx val="16"/>
        <c:spPr>
          <a:solidFill>
            <a:srgbClr val="1960FF"/>
          </a:solidFill>
          <a:ln w="28575" cap="rnd" cmpd="sng">
            <a:solidFill>
              <a:srgbClr val="1960FF"/>
            </a:solidFill>
            <a:bevel/>
          </a:ln>
          <a:effectLst/>
          <a:sp3d contourW="28575">
            <a:contourClr>
              <a:srgbClr val="1960FF"/>
            </a:contourClr>
          </a:sp3d>
        </c:spPr>
      </c:pivotFmt>
      <c:pivotFmt>
        <c:idx val="17"/>
        <c:spPr>
          <a:solidFill>
            <a:srgbClr val="0036B0"/>
          </a:solidFill>
          <a:ln w="15875" cap="rnd">
            <a:solidFill>
              <a:srgbClr val="0036B0"/>
            </a:solidFill>
            <a:bevel/>
          </a:ln>
          <a:effectLst/>
          <a:sp3d contourW="15875">
            <a:contourClr>
              <a:srgbClr val="0036B0"/>
            </a:contourClr>
          </a:sp3d>
        </c:spPr>
      </c:pivotFmt>
      <c:pivotFmt>
        <c:idx val="1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D1E8FF"/>
          </a:solidFill>
          <a:ln w="44450" cap="rnd">
            <a:solidFill>
              <a:srgbClr val="D1E8FF"/>
            </a:solidFill>
            <a:bevel/>
          </a:ln>
          <a:effectLst/>
          <a:sp3d contourW="44450">
            <a:contourClr>
              <a:srgbClr val="D1E8FF"/>
            </a:contourClr>
          </a:sp3d>
        </c:spPr>
      </c:pivotFmt>
      <c:pivotFmt>
        <c:idx val="20"/>
        <c:spPr>
          <a:solidFill>
            <a:srgbClr val="9FBDFF"/>
          </a:solidFill>
          <a:ln w="31750" cap="rnd">
            <a:solidFill>
              <a:srgbClr val="9FBDFF"/>
            </a:solidFill>
            <a:bevel/>
          </a:ln>
          <a:effectLst/>
          <a:sp3d contourW="31750">
            <a:contourClr>
              <a:srgbClr val="9FBDFF"/>
            </a:contourClr>
          </a:sp3d>
        </c:spPr>
      </c:pivotFmt>
      <c:pivotFmt>
        <c:idx val="21"/>
        <c:spPr>
          <a:solidFill>
            <a:srgbClr val="5D8FFF"/>
          </a:solidFill>
          <a:ln w="31750" cap="rnd">
            <a:solidFill>
              <a:srgbClr val="5D8FFF"/>
            </a:solidFill>
            <a:bevel/>
          </a:ln>
          <a:effectLst/>
          <a:sp3d contourW="31750">
            <a:contourClr>
              <a:srgbClr val="5D8FFF"/>
            </a:contourClr>
          </a:sp3d>
        </c:spPr>
      </c:pivotFmt>
      <c:pivotFmt>
        <c:idx val="22"/>
        <c:spPr>
          <a:solidFill>
            <a:srgbClr val="1960FF"/>
          </a:solidFill>
          <a:ln w="28575" cap="rnd" cmpd="sng">
            <a:solidFill>
              <a:srgbClr val="1960FF"/>
            </a:solidFill>
            <a:bevel/>
          </a:ln>
          <a:effectLst/>
          <a:sp3d contourW="28575">
            <a:contourClr>
              <a:srgbClr val="1960FF"/>
            </a:contourClr>
          </a:sp3d>
        </c:spPr>
      </c:pivotFmt>
      <c:pivotFmt>
        <c:idx val="23"/>
        <c:spPr>
          <a:solidFill>
            <a:srgbClr val="0036B0"/>
          </a:solidFill>
          <a:ln w="15875" cap="rnd">
            <a:solidFill>
              <a:srgbClr val="0036B0"/>
            </a:solidFill>
            <a:bevel/>
          </a:ln>
          <a:effectLst/>
          <a:sp3d contourW="15875">
            <a:contourClr>
              <a:srgbClr val="0036B0"/>
            </a:contourClr>
          </a:sp3d>
        </c:spPr>
      </c:pivotFmt>
      <c:pivotFmt>
        <c:idx val="2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D1E8FF"/>
          </a:solidFill>
          <a:ln w="44450" cap="rnd">
            <a:solidFill>
              <a:srgbClr val="D1E8FF"/>
            </a:solidFill>
            <a:bevel/>
          </a:ln>
          <a:effectLst/>
          <a:sp3d contourW="44450">
            <a:contourClr>
              <a:srgbClr val="D1E8FF"/>
            </a:contourClr>
          </a:sp3d>
        </c:spPr>
      </c:pivotFmt>
      <c:pivotFmt>
        <c:idx val="26"/>
        <c:spPr>
          <a:solidFill>
            <a:srgbClr val="9FBDFF"/>
          </a:solidFill>
          <a:ln w="31750" cap="rnd">
            <a:solidFill>
              <a:srgbClr val="9FBDFF"/>
            </a:solidFill>
            <a:bevel/>
          </a:ln>
          <a:effectLst/>
          <a:sp3d contourW="31750">
            <a:contourClr>
              <a:srgbClr val="9FBDFF"/>
            </a:contourClr>
          </a:sp3d>
        </c:spPr>
      </c:pivotFmt>
      <c:pivotFmt>
        <c:idx val="27"/>
        <c:spPr>
          <a:solidFill>
            <a:srgbClr val="5D8FFF"/>
          </a:solidFill>
          <a:ln w="31750" cap="rnd">
            <a:solidFill>
              <a:srgbClr val="5D8FFF"/>
            </a:solidFill>
            <a:bevel/>
          </a:ln>
          <a:effectLst/>
          <a:sp3d contourW="31750">
            <a:contourClr>
              <a:srgbClr val="5D8FFF"/>
            </a:contourClr>
          </a:sp3d>
        </c:spPr>
      </c:pivotFmt>
      <c:pivotFmt>
        <c:idx val="28"/>
        <c:spPr>
          <a:solidFill>
            <a:srgbClr val="1960FF"/>
          </a:solidFill>
          <a:ln w="28575" cap="rnd" cmpd="sng">
            <a:solidFill>
              <a:srgbClr val="1960FF"/>
            </a:solidFill>
            <a:bevel/>
          </a:ln>
          <a:effectLst/>
          <a:sp3d contourW="28575">
            <a:contourClr>
              <a:srgbClr val="1960FF"/>
            </a:contourClr>
          </a:sp3d>
        </c:spPr>
      </c:pivotFmt>
      <c:pivotFmt>
        <c:idx val="29"/>
        <c:spPr>
          <a:solidFill>
            <a:srgbClr val="0036B0"/>
          </a:solidFill>
          <a:ln w="15875" cap="rnd">
            <a:solidFill>
              <a:srgbClr val="0036B0"/>
            </a:solidFill>
            <a:bevel/>
          </a:ln>
          <a:effectLst/>
          <a:sp3d contourW="15875">
            <a:contourClr>
              <a:srgbClr val="0036B0"/>
            </a:contourClr>
          </a:sp3d>
        </c:spPr>
      </c:pivotFmt>
      <c:pivotFmt>
        <c:idx val="3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D1E8FF"/>
          </a:solidFill>
          <a:ln w="44450" cap="rnd">
            <a:solidFill>
              <a:srgbClr val="D1E8FF"/>
            </a:solidFill>
            <a:bevel/>
          </a:ln>
          <a:effectLst/>
          <a:sp3d contourW="44450">
            <a:contourClr>
              <a:srgbClr val="D1E8FF"/>
            </a:contourClr>
          </a:sp3d>
        </c:spPr>
      </c:pivotFmt>
      <c:pivotFmt>
        <c:idx val="33"/>
        <c:spPr>
          <a:solidFill>
            <a:srgbClr val="9FBDFF"/>
          </a:solidFill>
          <a:ln w="31750" cap="rnd">
            <a:solidFill>
              <a:srgbClr val="9FBDFF"/>
            </a:solidFill>
            <a:bevel/>
          </a:ln>
          <a:effectLst/>
          <a:sp3d contourW="31750">
            <a:contourClr>
              <a:srgbClr val="9FBDFF"/>
            </a:contourClr>
          </a:sp3d>
        </c:spPr>
      </c:pivotFmt>
      <c:pivotFmt>
        <c:idx val="34"/>
        <c:spPr>
          <a:solidFill>
            <a:srgbClr val="5D8FFF"/>
          </a:solidFill>
          <a:ln w="31750" cap="rnd">
            <a:solidFill>
              <a:srgbClr val="5D8FFF"/>
            </a:solidFill>
            <a:bevel/>
          </a:ln>
          <a:effectLst/>
          <a:sp3d contourW="31750">
            <a:contourClr>
              <a:srgbClr val="5D8FFF"/>
            </a:contourClr>
          </a:sp3d>
        </c:spPr>
      </c:pivotFmt>
      <c:pivotFmt>
        <c:idx val="35"/>
        <c:spPr>
          <a:solidFill>
            <a:srgbClr val="1960FF"/>
          </a:solidFill>
          <a:ln w="28575" cap="rnd" cmpd="sng">
            <a:solidFill>
              <a:srgbClr val="1960FF"/>
            </a:solidFill>
            <a:bevel/>
          </a:ln>
          <a:effectLst/>
          <a:sp3d contourW="28575">
            <a:contourClr>
              <a:srgbClr val="1960FF"/>
            </a:contourClr>
          </a:sp3d>
        </c:spPr>
      </c:pivotFmt>
      <c:pivotFmt>
        <c:idx val="36"/>
        <c:spPr>
          <a:solidFill>
            <a:srgbClr val="0036B0"/>
          </a:solidFill>
          <a:ln w="15875" cap="rnd">
            <a:solidFill>
              <a:srgbClr val="0036B0"/>
            </a:solidFill>
            <a:bevel/>
          </a:ln>
          <a:effectLst/>
          <a:sp3d contourW="15875">
            <a:contourClr>
              <a:srgbClr val="0036B0"/>
            </a:contourClr>
          </a:sp3d>
        </c:spPr>
      </c:pivotFmt>
      <c:pivotFmt>
        <c:idx val="3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D1E8FF"/>
          </a:solidFill>
          <a:ln w="44450" cap="rnd">
            <a:solidFill>
              <a:srgbClr val="D1E8FF"/>
            </a:solidFill>
            <a:bevel/>
          </a:ln>
          <a:effectLst/>
          <a:sp3d contourW="44450">
            <a:contourClr>
              <a:srgbClr val="D1E8FF"/>
            </a:contourClr>
          </a:sp3d>
        </c:spPr>
      </c:pivotFmt>
      <c:pivotFmt>
        <c:idx val="39"/>
        <c:spPr>
          <a:solidFill>
            <a:srgbClr val="9FBDFF"/>
          </a:solidFill>
          <a:ln w="31750" cap="rnd">
            <a:solidFill>
              <a:srgbClr val="9FBDFF"/>
            </a:solidFill>
            <a:bevel/>
          </a:ln>
          <a:effectLst/>
          <a:sp3d contourW="31750">
            <a:contourClr>
              <a:srgbClr val="9FBDFF"/>
            </a:contourClr>
          </a:sp3d>
        </c:spPr>
      </c:pivotFmt>
      <c:pivotFmt>
        <c:idx val="40"/>
        <c:spPr>
          <a:solidFill>
            <a:srgbClr val="5D8FFF"/>
          </a:solidFill>
          <a:ln w="31750" cap="rnd">
            <a:solidFill>
              <a:srgbClr val="5D8FFF"/>
            </a:solidFill>
            <a:bevel/>
          </a:ln>
          <a:effectLst/>
          <a:sp3d contourW="31750">
            <a:contourClr>
              <a:srgbClr val="5D8FFF"/>
            </a:contourClr>
          </a:sp3d>
        </c:spPr>
      </c:pivotFmt>
      <c:pivotFmt>
        <c:idx val="41"/>
        <c:spPr>
          <a:solidFill>
            <a:srgbClr val="1960FF"/>
          </a:solidFill>
          <a:ln w="28575" cap="rnd" cmpd="sng">
            <a:solidFill>
              <a:srgbClr val="1960FF"/>
            </a:solidFill>
            <a:bevel/>
          </a:ln>
          <a:effectLst/>
          <a:sp3d contourW="28575">
            <a:contourClr>
              <a:srgbClr val="1960FF"/>
            </a:contourClr>
          </a:sp3d>
        </c:spPr>
      </c:pivotFmt>
      <c:pivotFmt>
        <c:idx val="42"/>
        <c:spPr>
          <a:solidFill>
            <a:srgbClr val="0036B0"/>
          </a:solidFill>
          <a:ln w="15875" cap="rnd">
            <a:solidFill>
              <a:srgbClr val="0036B0"/>
            </a:solidFill>
            <a:bevel/>
          </a:ln>
          <a:effectLst/>
          <a:sp3d contourW="15875">
            <a:contourClr>
              <a:srgbClr val="0036B0"/>
            </a:contourClr>
          </a:sp3d>
        </c:spPr>
        <c:dLbl>
          <c:idx val="0"/>
          <c:layout>
            <c:manualLayout>
              <c:x val="-1.2989307946901079E-2"/>
              <c:y val="-7.1015670430015998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8.0586395357336624E-2"/>
                  <c:h val="7.046717944050146E-2"/>
                </c:manualLayout>
              </c15:layout>
            </c:ext>
          </c:extLst>
        </c:dLbl>
      </c:pivotFmt>
    </c:pivotFmts>
    <c:view3D>
      <c:rotX val="30"/>
      <c:rotY val="18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Sheet1!$B$3</c:f>
              <c:strCache>
                <c:ptCount val="1"/>
                <c:pt idx="0">
                  <c:v>Total</c:v>
                </c:pt>
              </c:strCache>
            </c:strRef>
          </c:tx>
          <c:explosion val="6"/>
          <c:dPt>
            <c:idx val="0"/>
            <c:bubble3D val="0"/>
            <c:spPr>
              <a:solidFill>
                <a:srgbClr val="D1E8FF"/>
              </a:solidFill>
              <a:ln w="44450" cap="rnd">
                <a:solidFill>
                  <a:srgbClr val="D1E8FF"/>
                </a:solidFill>
                <a:bevel/>
              </a:ln>
              <a:effectLst/>
              <a:sp3d contourW="44450">
                <a:contourClr>
                  <a:srgbClr val="D1E8FF"/>
                </a:contourClr>
              </a:sp3d>
            </c:spPr>
            <c:extLst>
              <c:ext xmlns:c16="http://schemas.microsoft.com/office/drawing/2014/chart" uri="{C3380CC4-5D6E-409C-BE32-E72D297353CC}">
                <c16:uniqueId val="{00000001-863D-4A08-8080-FB06AEC2B2EC}"/>
              </c:ext>
            </c:extLst>
          </c:dPt>
          <c:dPt>
            <c:idx val="1"/>
            <c:bubble3D val="0"/>
            <c:spPr>
              <a:solidFill>
                <a:srgbClr val="9FBDFF"/>
              </a:solidFill>
              <a:ln w="31750" cap="rnd">
                <a:solidFill>
                  <a:srgbClr val="9FBDFF"/>
                </a:solidFill>
                <a:bevel/>
              </a:ln>
              <a:effectLst/>
              <a:sp3d contourW="31750">
                <a:contourClr>
                  <a:srgbClr val="9FBDFF"/>
                </a:contourClr>
              </a:sp3d>
            </c:spPr>
            <c:extLst>
              <c:ext xmlns:c16="http://schemas.microsoft.com/office/drawing/2014/chart" uri="{C3380CC4-5D6E-409C-BE32-E72D297353CC}">
                <c16:uniqueId val="{00000003-863D-4A08-8080-FB06AEC2B2EC}"/>
              </c:ext>
            </c:extLst>
          </c:dPt>
          <c:dPt>
            <c:idx val="2"/>
            <c:bubble3D val="0"/>
            <c:spPr>
              <a:solidFill>
                <a:srgbClr val="5D8FFF"/>
              </a:solidFill>
              <a:ln w="31750" cap="rnd">
                <a:solidFill>
                  <a:srgbClr val="5D8FFF"/>
                </a:solidFill>
                <a:bevel/>
              </a:ln>
              <a:effectLst/>
              <a:sp3d contourW="31750">
                <a:contourClr>
                  <a:srgbClr val="5D8FFF"/>
                </a:contourClr>
              </a:sp3d>
            </c:spPr>
            <c:extLst>
              <c:ext xmlns:c16="http://schemas.microsoft.com/office/drawing/2014/chart" uri="{C3380CC4-5D6E-409C-BE32-E72D297353CC}">
                <c16:uniqueId val="{00000005-863D-4A08-8080-FB06AEC2B2EC}"/>
              </c:ext>
            </c:extLst>
          </c:dPt>
          <c:dPt>
            <c:idx val="3"/>
            <c:bubble3D val="0"/>
            <c:spPr>
              <a:solidFill>
                <a:srgbClr val="1960FF"/>
              </a:solidFill>
              <a:ln w="28575" cap="rnd" cmpd="sng">
                <a:solidFill>
                  <a:srgbClr val="1960FF"/>
                </a:solidFill>
                <a:bevel/>
              </a:ln>
              <a:effectLst/>
              <a:sp3d contourW="28575">
                <a:contourClr>
                  <a:srgbClr val="1960FF"/>
                </a:contourClr>
              </a:sp3d>
            </c:spPr>
            <c:extLst>
              <c:ext xmlns:c16="http://schemas.microsoft.com/office/drawing/2014/chart" uri="{C3380CC4-5D6E-409C-BE32-E72D297353CC}">
                <c16:uniqueId val="{00000007-863D-4A08-8080-FB06AEC2B2EC}"/>
              </c:ext>
            </c:extLst>
          </c:dPt>
          <c:dPt>
            <c:idx val="4"/>
            <c:bubble3D val="0"/>
            <c:spPr>
              <a:solidFill>
                <a:srgbClr val="0036B0"/>
              </a:solidFill>
              <a:ln w="15875" cap="rnd">
                <a:solidFill>
                  <a:srgbClr val="0036B0"/>
                </a:solidFill>
                <a:bevel/>
              </a:ln>
              <a:effectLst/>
              <a:sp3d contourW="15875">
                <a:contourClr>
                  <a:srgbClr val="0036B0"/>
                </a:contourClr>
              </a:sp3d>
            </c:spPr>
            <c:extLst>
              <c:ext xmlns:c16="http://schemas.microsoft.com/office/drawing/2014/chart" uri="{C3380CC4-5D6E-409C-BE32-E72D297353CC}">
                <c16:uniqueId val="{00000009-863D-4A08-8080-FB06AEC2B2EC}"/>
              </c:ext>
            </c:extLst>
          </c:dPt>
          <c:dLbls>
            <c:dLbl>
              <c:idx val="4"/>
              <c:layout>
                <c:manualLayout>
                  <c:x val="-1.2989307946901079E-2"/>
                  <c:y val="-7.1015670430015998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8.0586395357336624E-2"/>
                      <c:h val="7.046717944050146E-2"/>
                    </c:manualLayout>
                  </c15:layout>
                </c:ext>
                <c:ext xmlns:c16="http://schemas.microsoft.com/office/drawing/2014/chart" uri="{C3380CC4-5D6E-409C-BE32-E72D297353CC}">
                  <c16:uniqueId val="{00000009-863D-4A08-8080-FB06AEC2B2EC}"/>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Sheet1!$A$4:$A$9</c:f>
              <c:strCache>
                <c:ptCount val="5"/>
                <c:pt idx="0">
                  <c:v>Sports</c:v>
                </c:pt>
                <c:pt idx="1">
                  <c:v>Electronics</c:v>
                </c:pt>
                <c:pt idx="2">
                  <c:v>Home Appliances</c:v>
                </c:pt>
                <c:pt idx="3">
                  <c:v>Clothing</c:v>
                </c:pt>
                <c:pt idx="4">
                  <c:v>Beauty</c:v>
                </c:pt>
              </c:strCache>
            </c:strRef>
          </c:cat>
          <c:val>
            <c:numRef>
              <c:f>Sheet1!$B$4:$B$9</c:f>
              <c:numCache>
                <c:formatCode>General</c:formatCode>
                <c:ptCount val="5"/>
                <c:pt idx="0">
                  <c:v>47108</c:v>
                </c:pt>
                <c:pt idx="1">
                  <c:v>38960</c:v>
                </c:pt>
                <c:pt idx="2">
                  <c:v>19170</c:v>
                </c:pt>
                <c:pt idx="3">
                  <c:v>6694</c:v>
                </c:pt>
                <c:pt idx="4">
                  <c:v>3291</c:v>
                </c:pt>
              </c:numCache>
            </c:numRef>
          </c:val>
          <c:extLst>
            <c:ext xmlns:c16="http://schemas.microsoft.com/office/drawing/2014/chart" uri="{C3380CC4-5D6E-409C-BE32-E72D297353CC}">
              <c16:uniqueId val="{0000000A-863D-4A08-8080-FB06AEC2B2EC}"/>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64135197538585753"/>
          <c:y val="0.33144649688227223"/>
          <c:w val="0.22417356024059537"/>
          <c:h val="0.45789406532516769"/>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[Month1_Week4_Practice(AutoRecovered).xlsx]Pivot tables!PivotTable10</c:name>
    <c:fmtId val="4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t>Customer Segment Revenue By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38100" cap="rnd">
            <a:solidFill>
              <a:srgbClr val="0070C0"/>
            </a:solidFill>
            <a:round/>
          </a:ln>
          <a:effectLst/>
        </c:spPr>
        <c:marker>
          <c:symbol val="square"/>
          <c:size val="6"/>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rnd">
            <a:solidFill>
              <a:srgbClr val="5DB2FF"/>
            </a:solidFill>
            <a:round/>
          </a:ln>
          <a:effectLst/>
        </c:spPr>
        <c:marker>
          <c:symbol val="square"/>
          <c:size val="6"/>
          <c:spPr>
            <a:solidFill>
              <a:schemeClr val="bg1">
                <a:lumMod val="75000"/>
              </a:schemeClr>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8100" cap="rnd">
            <a:solidFill>
              <a:srgbClr val="E5F3FF"/>
            </a:solidFill>
            <a:round/>
          </a:ln>
          <a:effectLst/>
        </c:spPr>
        <c:marker>
          <c:symbol val="square"/>
          <c:size val="6"/>
          <c:spPr>
            <a:solidFill>
              <a:srgbClr val="002060"/>
            </a:solidFill>
            <a:ln w="9525">
              <a:solidFill>
                <a:srgbClr val="E5F3F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38100" cap="rnd">
            <a:solidFill>
              <a:srgbClr val="0070C0"/>
            </a:solidFill>
            <a:round/>
          </a:ln>
          <a:effectLst/>
        </c:spPr>
        <c:marker>
          <c:symbol val="square"/>
          <c:size val="6"/>
          <c:spPr>
            <a:solidFill>
              <a:schemeClr val="bg1"/>
            </a:solidFill>
            <a:ln w="9525">
              <a:solidFill>
                <a:schemeClr val="accent1"/>
              </a:solidFill>
            </a:ln>
            <a:effectLst/>
          </c:spPr>
        </c:marker>
      </c:pivotFmt>
      <c:pivotFmt>
        <c:idx val="4"/>
        <c:spPr>
          <a:solidFill>
            <a:schemeClr val="accent1"/>
          </a:solidFill>
          <a:ln w="38100" cap="rnd">
            <a:solidFill>
              <a:srgbClr val="0070C0"/>
            </a:solidFill>
            <a:round/>
          </a:ln>
          <a:effectLst/>
        </c:spPr>
        <c:marker>
          <c:symbol val="square"/>
          <c:size val="6"/>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38100" cap="rnd">
            <a:solidFill>
              <a:srgbClr val="5DB2FF"/>
            </a:solidFill>
            <a:round/>
          </a:ln>
          <a:effectLst/>
        </c:spPr>
        <c:marker>
          <c:symbol val="square"/>
          <c:size val="6"/>
          <c:spPr>
            <a:solidFill>
              <a:schemeClr val="bg1">
                <a:lumMod val="75000"/>
              </a:schemeClr>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38100" cap="rnd">
            <a:solidFill>
              <a:srgbClr val="E5F3FF"/>
            </a:solidFill>
            <a:round/>
          </a:ln>
          <a:effectLst/>
        </c:spPr>
        <c:marker>
          <c:symbol val="square"/>
          <c:size val="6"/>
          <c:spPr>
            <a:solidFill>
              <a:srgbClr val="002060"/>
            </a:solidFill>
            <a:ln w="9525">
              <a:solidFill>
                <a:srgbClr val="E5F3F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38100"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38100" cap="rnd">
            <a:solidFill>
              <a:srgbClr val="5DB2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38100" cap="rnd">
            <a:solidFill>
              <a:srgbClr val="E5F3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38100" cap="rnd">
            <a:solidFill>
              <a:srgbClr val="5DB2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38100" cap="rnd">
            <a:solidFill>
              <a:srgbClr val="E5F3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38100"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38100" cap="rnd">
            <a:solidFill>
              <a:srgbClr val="5DB2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38100" cap="rnd">
            <a:solidFill>
              <a:srgbClr val="E5F3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38100"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38100" cap="rnd">
            <a:solidFill>
              <a:srgbClr val="5DB2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38100" cap="rnd">
            <a:solidFill>
              <a:srgbClr val="E5F3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38100"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ln w="38100" cap="rnd">
            <a:solidFill>
              <a:srgbClr val="5DB2FF"/>
            </a:solidFill>
            <a:round/>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ln w="38100" cap="rnd">
            <a:solidFill>
              <a:srgbClr val="E5F3FF"/>
            </a:solidFill>
            <a:round/>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ln w="38100" cap="rnd">
            <a:solidFill>
              <a:srgbClr val="0070C0"/>
            </a:solidFill>
            <a:round/>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tables'!$B$19:$B$20</c:f>
              <c:strCache>
                <c:ptCount val="1"/>
                <c:pt idx="0">
                  <c:v>Premium</c:v>
                </c:pt>
              </c:strCache>
            </c:strRef>
          </c:tx>
          <c:spPr>
            <a:ln w="38100" cap="rnd">
              <a:solidFill>
                <a:srgbClr val="5DB2FF"/>
              </a:solidFill>
              <a:round/>
            </a:ln>
            <a:effectLst/>
          </c:spPr>
          <c:marker>
            <c:symbol val="none"/>
          </c:marker>
          <c:dLbls>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tables'!$A$21:$A$27</c:f>
              <c:strCache>
                <c:ptCount val="6"/>
                <c:pt idx="0">
                  <c:v>January</c:v>
                </c:pt>
                <c:pt idx="1">
                  <c:v>February</c:v>
                </c:pt>
                <c:pt idx="2">
                  <c:v>March</c:v>
                </c:pt>
                <c:pt idx="3">
                  <c:v>April</c:v>
                </c:pt>
                <c:pt idx="4">
                  <c:v>May</c:v>
                </c:pt>
                <c:pt idx="5">
                  <c:v>June</c:v>
                </c:pt>
              </c:strCache>
            </c:strRef>
          </c:cat>
          <c:val>
            <c:numRef>
              <c:f>'Pivot tables'!$B$21:$B$27</c:f>
              <c:numCache>
                <c:formatCode>General</c:formatCode>
                <c:ptCount val="6"/>
                <c:pt idx="0">
                  <c:v>42130</c:v>
                </c:pt>
                <c:pt idx="1">
                  <c:v>0</c:v>
                </c:pt>
                <c:pt idx="2">
                  <c:v>0</c:v>
                </c:pt>
                <c:pt idx="3">
                  <c:v>7129</c:v>
                </c:pt>
                <c:pt idx="4">
                  <c:v>0</c:v>
                </c:pt>
                <c:pt idx="5">
                  <c:v>0</c:v>
                </c:pt>
              </c:numCache>
            </c:numRef>
          </c:val>
          <c:smooth val="0"/>
          <c:extLst>
            <c:ext xmlns:c16="http://schemas.microsoft.com/office/drawing/2014/chart" uri="{C3380CC4-5D6E-409C-BE32-E72D297353CC}">
              <c16:uniqueId val="{00000000-4FF3-4B8D-8C15-631D5B2B59B2}"/>
            </c:ext>
          </c:extLst>
        </c:ser>
        <c:ser>
          <c:idx val="1"/>
          <c:order val="1"/>
          <c:tx>
            <c:strRef>
              <c:f>'Pivot tables'!$C$19:$C$20</c:f>
              <c:strCache>
                <c:ptCount val="1"/>
                <c:pt idx="0">
                  <c:v>Standard</c:v>
                </c:pt>
              </c:strCache>
            </c:strRef>
          </c:tx>
          <c:spPr>
            <a:ln w="38100" cap="rnd">
              <a:solidFill>
                <a:srgbClr val="E5F3FF"/>
              </a:solidFill>
              <a:round/>
            </a:ln>
            <a:effectLst/>
          </c:spPr>
          <c:marker>
            <c:symbol val="none"/>
          </c:marker>
          <c:dLbls>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tables'!$A$21:$A$27</c:f>
              <c:strCache>
                <c:ptCount val="6"/>
                <c:pt idx="0">
                  <c:v>January</c:v>
                </c:pt>
                <c:pt idx="1">
                  <c:v>February</c:v>
                </c:pt>
                <c:pt idx="2">
                  <c:v>March</c:v>
                </c:pt>
                <c:pt idx="3">
                  <c:v>April</c:v>
                </c:pt>
                <c:pt idx="4">
                  <c:v>May</c:v>
                </c:pt>
                <c:pt idx="5">
                  <c:v>June</c:v>
                </c:pt>
              </c:strCache>
            </c:strRef>
          </c:cat>
          <c:val>
            <c:numRef>
              <c:f>'Pivot tables'!$C$21:$C$27</c:f>
              <c:numCache>
                <c:formatCode>General</c:formatCode>
                <c:ptCount val="6"/>
                <c:pt idx="0">
                  <c:v>0</c:v>
                </c:pt>
                <c:pt idx="1">
                  <c:v>21101</c:v>
                </c:pt>
                <c:pt idx="2">
                  <c:v>0</c:v>
                </c:pt>
                <c:pt idx="3">
                  <c:v>0</c:v>
                </c:pt>
                <c:pt idx="4">
                  <c:v>17230</c:v>
                </c:pt>
                <c:pt idx="5">
                  <c:v>0</c:v>
                </c:pt>
              </c:numCache>
            </c:numRef>
          </c:val>
          <c:smooth val="0"/>
          <c:extLst>
            <c:ext xmlns:c16="http://schemas.microsoft.com/office/drawing/2014/chart" uri="{C3380CC4-5D6E-409C-BE32-E72D297353CC}">
              <c16:uniqueId val="{00000003-9E29-47FE-9CDD-EF65E4264E3D}"/>
            </c:ext>
          </c:extLst>
        </c:ser>
        <c:ser>
          <c:idx val="2"/>
          <c:order val="2"/>
          <c:tx>
            <c:strRef>
              <c:f>'Pivot tables'!$D$19:$D$20</c:f>
              <c:strCache>
                <c:ptCount val="1"/>
                <c:pt idx="0">
                  <c:v>Budget</c:v>
                </c:pt>
              </c:strCache>
            </c:strRef>
          </c:tx>
          <c:spPr>
            <a:ln w="38100" cap="rnd">
              <a:solidFill>
                <a:srgbClr val="0070C0"/>
              </a:solidFill>
              <a:round/>
            </a:ln>
            <a:effectLst/>
          </c:spPr>
          <c:marker>
            <c:symbol val="none"/>
          </c:marker>
          <c:dLbls>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tables'!$A$21:$A$27</c:f>
              <c:strCache>
                <c:ptCount val="6"/>
                <c:pt idx="0">
                  <c:v>January</c:v>
                </c:pt>
                <c:pt idx="1">
                  <c:v>February</c:v>
                </c:pt>
                <c:pt idx="2">
                  <c:v>March</c:v>
                </c:pt>
                <c:pt idx="3">
                  <c:v>April</c:v>
                </c:pt>
                <c:pt idx="4">
                  <c:v>May</c:v>
                </c:pt>
                <c:pt idx="5">
                  <c:v>June</c:v>
                </c:pt>
              </c:strCache>
            </c:strRef>
          </c:cat>
          <c:val>
            <c:numRef>
              <c:f>'Pivot tables'!$D$21:$D$27</c:f>
              <c:numCache>
                <c:formatCode>General</c:formatCode>
                <c:ptCount val="6"/>
                <c:pt idx="0">
                  <c:v>0</c:v>
                </c:pt>
                <c:pt idx="1">
                  <c:v>0</c:v>
                </c:pt>
                <c:pt idx="2">
                  <c:v>18666</c:v>
                </c:pt>
                <c:pt idx="3">
                  <c:v>0</c:v>
                </c:pt>
                <c:pt idx="4">
                  <c:v>0</c:v>
                </c:pt>
                <c:pt idx="5">
                  <c:v>8967</c:v>
                </c:pt>
              </c:numCache>
            </c:numRef>
          </c:val>
          <c:smooth val="0"/>
          <c:extLst>
            <c:ext xmlns:c16="http://schemas.microsoft.com/office/drawing/2014/chart" uri="{C3380CC4-5D6E-409C-BE32-E72D297353CC}">
              <c16:uniqueId val="{00000004-9E29-47FE-9CDD-EF65E4264E3D}"/>
            </c:ext>
          </c:extLst>
        </c:ser>
        <c:dLbls>
          <c:dLblPos val="t"/>
          <c:showLegendKey val="0"/>
          <c:showVal val="1"/>
          <c:showCatName val="0"/>
          <c:showSerName val="0"/>
          <c:showPercent val="0"/>
          <c:showBubbleSize val="0"/>
        </c:dLbls>
        <c:smooth val="0"/>
        <c:axId val="75512288"/>
        <c:axId val="1621611967"/>
      </c:lineChart>
      <c:catAx>
        <c:axId val="75512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1621611967"/>
        <c:crosses val="autoZero"/>
        <c:auto val="1"/>
        <c:lblAlgn val="ctr"/>
        <c:lblOffset val="100"/>
        <c:noMultiLvlLbl val="0"/>
      </c:catAx>
      <c:valAx>
        <c:axId val="1621611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5512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[Month1_Week4_Practice(AutoRecovered).xlsx]Dashboard Pivot tables!PivotTable1</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Category</a:t>
            </a:r>
            <a:r>
              <a:rPr lang="en-US" b="1" baseline="0">
                <a:solidFill>
                  <a:schemeClr val="tx1"/>
                </a:solidFill>
              </a:rPr>
              <a:t> Growth By Units Sold</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D8FFF"/>
          </a:solidFill>
          <a:ln w="12700" cap="rnd">
            <a:solidFill>
              <a:schemeClr val="tx1"/>
            </a:solidFill>
            <a:bevel/>
          </a:ln>
          <a:effectLst/>
        </c:spPr>
      </c:pivotFmt>
      <c:pivotFmt>
        <c:idx val="2"/>
        <c:spPr>
          <a:solidFill>
            <a:srgbClr val="9FBDFF"/>
          </a:solidFill>
          <a:ln w="12700" cap="rnd">
            <a:solidFill>
              <a:schemeClr val="tx1"/>
            </a:solidFill>
            <a:bevel/>
          </a:ln>
          <a:effectLst/>
        </c:spPr>
      </c:pivotFmt>
      <c:pivotFmt>
        <c:idx val="3"/>
        <c:spPr>
          <a:solidFill>
            <a:srgbClr val="1960FF"/>
          </a:solidFill>
          <a:ln w="12700" cap="rnd">
            <a:solidFill>
              <a:schemeClr val="tx1"/>
            </a:solidFill>
            <a:bevel/>
          </a:ln>
          <a:effectLst/>
        </c:spPr>
      </c:pivotFmt>
      <c:pivotFmt>
        <c:idx val="4"/>
        <c:spPr>
          <a:solidFill>
            <a:srgbClr val="D1E8FF"/>
          </a:solidFill>
          <a:ln w="12700" cap="rnd">
            <a:solidFill>
              <a:schemeClr val="tx1"/>
            </a:solidFill>
            <a:bevel/>
          </a:ln>
          <a:effectLst/>
        </c:spPr>
      </c:pivotFmt>
      <c:pivotFmt>
        <c:idx val="5"/>
        <c:spPr>
          <a:solidFill>
            <a:srgbClr val="9FBDFF"/>
          </a:solidFill>
          <a:ln w="12700" cap="rnd">
            <a:solidFill>
              <a:schemeClr val="tx1"/>
            </a:solidFill>
            <a:bevel/>
          </a:ln>
          <a:effectLst/>
        </c:spPr>
      </c:pivotFmt>
      <c:pivotFmt>
        <c:idx val="6"/>
        <c:spPr>
          <a:solidFill>
            <a:schemeClr val="accent1"/>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1960FF"/>
          </a:solidFill>
          <a:ln w="12700" cap="rnd">
            <a:solidFill>
              <a:schemeClr val="tx1"/>
            </a:solidFill>
            <a:bevel/>
          </a:ln>
          <a:effectLst/>
        </c:spPr>
      </c:pivotFmt>
      <c:pivotFmt>
        <c:idx val="8"/>
        <c:spPr>
          <a:solidFill>
            <a:srgbClr val="5D8FFF"/>
          </a:solidFill>
          <a:ln w="12700" cap="rnd">
            <a:solidFill>
              <a:schemeClr val="tx1"/>
            </a:solidFill>
            <a:bevel/>
          </a:ln>
          <a:effectLst/>
        </c:spPr>
      </c:pivotFmt>
      <c:pivotFmt>
        <c:idx val="9"/>
        <c:spPr>
          <a:solidFill>
            <a:srgbClr val="9FBDFF"/>
          </a:solidFill>
          <a:ln w="12700" cap="rnd">
            <a:solidFill>
              <a:schemeClr val="tx1"/>
            </a:solidFill>
            <a:bevel/>
          </a:ln>
          <a:effectLst/>
        </c:spPr>
      </c:pivotFmt>
      <c:pivotFmt>
        <c:idx val="10"/>
        <c:spPr>
          <a:solidFill>
            <a:srgbClr val="9FBDFF"/>
          </a:solidFill>
          <a:ln w="12700" cap="rnd">
            <a:solidFill>
              <a:schemeClr val="tx1"/>
            </a:solidFill>
            <a:bevel/>
          </a:ln>
          <a:effectLst/>
        </c:spPr>
      </c:pivotFmt>
      <c:pivotFmt>
        <c:idx val="11"/>
        <c:spPr>
          <a:solidFill>
            <a:srgbClr val="D1E8FF"/>
          </a:solidFill>
          <a:ln w="12700" cap="rnd">
            <a:solidFill>
              <a:schemeClr val="tx1"/>
            </a:solidFill>
            <a:bevel/>
          </a:ln>
          <a:effectLst/>
        </c:spPr>
      </c:pivotFmt>
      <c:pivotFmt>
        <c:idx val="12"/>
        <c:spPr>
          <a:solidFill>
            <a:schemeClr val="accent1"/>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1960FF"/>
          </a:solidFill>
          <a:ln w="12700" cap="rnd">
            <a:solidFill>
              <a:schemeClr val="tx1"/>
            </a:solidFill>
            <a:bevel/>
          </a:ln>
          <a:effectLst/>
        </c:spPr>
      </c:pivotFmt>
      <c:pivotFmt>
        <c:idx val="14"/>
        <c:spPr>
          <a:solidFill>
            <a:srgbClr val="5D8FFF"/>
          </a:solidFill>
          <a:ln w="12700" cap="rnd">
            <a:solidFill>
              <a:schemeClr val="tx1"/>
            </a:solidFill>
            <a:bevel/>
          </a:ln>
          <a:effectLst/>
        </c:spPr>
      </c:pivotFmt>
      <c:pivotFmt>
        <c:idx val="15"/>
        <c:spPr>
          <a:solidFill>
            <a:srgbClr val="9FBDFF"/>
          </a:solidFill>
          <a:ln w="12700" cap="rnd">
            <a:solidFill>
              <a:schemeClr val="tx1"/>
            </a:solidFill>
            <a:bevel/>
          </a:ln>
          <a:effectLst/>
        </c:spPr>
      </c:pivotFmt>
      <c:pivotFmt>
        <c:idx val="16"/>
        <c:spPr>
          <a:solidFill>
            <a:srgbClr val="9FBDFF"/>
          </a:solidFill>
          <a:ln w="12700" cap="rnd">
            <a:solidFill>
              <a:schemeClr val="tx1"/>
            </a:solidFill>
            <a:bevel/>
          </a:ln>
          <a:effectLst/>
        </c:spPr>
      </c:pivotFmt>
      <c:pivotFmt>
        <c:idx val="17"/>
        <c:spPr>
          <a:solidFill>
            <a:srgbClr val="D1E8FF"/>
          </a:solidFill>
          <a:ln w="12700" cap="rnd">
            <a:solidFill>
              <a:schemeClr val="tx1"/>
            </a:solidFill>
            <a:bevel/>
          </a:ln>
          <a:effectLst/>
        </c:spPr>
      </c:pivotFmt>
    </c:pivotFmts>
    <c:plotArea>
      <c:layout/>
      <c:doughnutChart>
        <c:varyColors val="1"/>
        <c:ser>
          <c:idx val="0"/>
          <c:order val="0"/>
          <c:tx>
            <c:strRef>
              <c:f>'Dashboard Pivot tables'!$V$2</c:f>
              <c:strCache>
                <c:ptCount val="1"/>
                <c:pt idx="0">
                  <c:v>Total</c:v>
                </c:pt>
              </c:strCache>
            </c:strRef>
          </c:tx>
          <c:spPr>
            <a:ln w="12700">
              <a:solidFill>
                <a:schemeClr val="tx1"/>
              </a:solidFill>
            </a:ln>
          </c:spPr>
          <c:dPt>
            <c:idx val="0"/>
            <c:bubble3D val="0"/>
            <c:spPr>
              <a:solidFill>
                <a:srgbClr val="1960FF"/>
              </a:solidFill>
              <a:ln w="12700" cap="rnd">
                <a:solidFill>
                  <a:schemeClr val="tx1"/>
                </a:solidFill>
                <a:bevel/>
              </a:ln>
              <a:effectLst/>
            </c:spPr>
            <c:extLst>
              <c:ext xmlns:c16="http://schemas.microsoft.com/office/drawing/2014/chart" uri="{C3380CC4-5D6E-409C-BE32-E72D297353CC}">
                <c16:uniqueId val="{00000001-7434-4C02-896F-5EFF3D4CC9DC}"/>
              </c:ext>
            </c:extLst>
          </c:dPt>
          <c:dPt>
            <c:idx val="1"/>
            <c:bubble3D val="0"/>
            <c:spPr>
              <a:solidFill>
                <a:srgbClr val="5D8FFF"/>
              </a:solidFill>
              <a:ln w="12700" cap="rnd">
                <a:solidFill>
                  <a:schemeClr val="tx1"/>
                </a:solidFill>
                <a:bevel/>
              </a:ln>
              <a:effectLst/>
            </c:spPr>
            <c:extLst>
              <c:ext xmlns:c16="http://schemas.microsoft.com/office/drawing/2014/chart" uri="{C3380CC4-5D6E-409C-BE32-E72D297353CC}">
                <c16:uniqueId val="{00000003-7434-4C02-896F-5EFF3D4CC9DC}"/>
              </c:ext>
            </c:extLst>
          </c:dPt>
          <c:dPt>
            <c:idx val="2"/>
            <c:bubble3D val="0"/>
            <c:spPr>
              <a:solidFill>
                <a:srgbClr val="9FBDFF"/>
              </a:solidFill>
              <a:ln w="12700" cap="rnd">
                <a:solidFill>
                  <a:schemeClr val="tx1"/>
                </a:solidFill>
                <a:bevel/>
              </a:ln>
              <a:effectLst/>
            </c:spPr>
            <c:extLst>
              <c:ext xmlns:c16="http://schemas.microsoft.com/office/drawing/2014/chart" uri="{C3380CC4-5D6E-409C-BE32-E72D297353CC}">
                <c16:uniqueId val="{00000005-7434-4C02-896F-5EFF3D4CC9DC}"/>
              </c:ext>
            </c:extLst>
          </c:dPt>
          <c:dPt>
            <c:idx val="3"/>
            <c:bubble3D val="0"/>
            <c:spPr>
              <a:solidFill>
                <a:srgbClr val="9FBDFF"/>
              </a:solidFill>
              <a:ln w="12700" cap="rnd">
                <a:solidFill>
                  <a:schemeClr val="tx1"/>
                </a:solidFill>
                <a:bevel/>
              </a:ln>
              <a:effectLst/>
            </c:spPr>
            <c:extLst>
              <c:ext xmlns:c16="http://schemas.microsoft.com/office/drawing/2014/chart" uri="{C3380CC4-5D6E-409C-BE32-E72D297353CC}">
                <c16:uniqueId val="{00000007-7434-4C02-896F-5EFF3D4CC9DC}"/>
              </c:ext>
            </c:extLst>
          </c:dPt>
          <c:dPt>
            <c:idx val="4"/>
            <c:bubble3D val="0"/>
            <c:spPr>
              <a:solidFill>
                <a:srgbClr val="D1E8FF"/>
              </a:solidFill>
              <a:ln w="12700" cap="rnd">
                <a:solidFill>
                  <a:schemeClr val="tx1"/>
                </a:solidFill>
                <a:bevel/>
              </a:ln>
              <a:effectLst/>
            </c:spPr>
            <c:extLst>
              <c:ext xmlns:c16="http://schemas.microsoft.com/office/drawing/2014/chart" uri="{C3380CC4-5D6E-409C-BE32-E72D297353CC}">
                <c16:uniqueId val="{00000009-7434-4C02-896F-5EFF3D4CC9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Pivot tables'!$U$3:$U$8</c:f>
              <c:strCache>
                <c:ptCount val="5"/>
                <c:pt idx="0">
                  <c:v>Electronics</c:v>
                </c:pt>
                <c:pt idx="1">
                  <c:v>Beauty</c:v>
                </c:pt>
                <c:pt idx="2">
                  <c:v>Home Appliances</c:v>
                </c:pt>
                <c:pt idx="3">
                  <c:v>Clothing</c:v>
                </c:pt>
                <c:pt idx="4">
                  <c:v>Sports</c:v>
                </c:pt>
              </c:strCache>
            </c:strRef>
          </c:cat>
          <c:val>
            <c:numRef>
              <c:f>'Dashboard Pivot tables'!$V$3:$V$8</c:f>
              <c:numCache>
                <c:formatCode>General</c:formatCode>
                <c:ptCount val="5"/>
                <c:pt idx="0">
                  <c:v>39</c:v>
                </c:pt>
                <c:pt idx="1">
                  <c:v>40</c:v>
                </c:pt>
                <c:pt idx="2">
                  <c:v>60</c:v>
                </c:pt>
                <c:pt idx="3">
                  <c:v>60</c:v>
                </c:pt>
                <c:pt idx="4">
                  <c:v>100</c:v>
                </c:pt>
              </c:numCache>
            </c:numRef>
          </c:val>
          <c:extLst>
            <c:ext xmlns:c16="http://schemas.microsoft.com/office/drawing/2014/chart" uri="{C3380CC4-5D6E-409C-BE32-E72D297353CC}">
              <c16:uniqueId val="{0000000A-7434-4C02-896F-5EFF3D4CC9DC}"/>
            </c:ext>
          </c:extLst>
        </c:ser>
        <c:dLbls>
          <c:showLegendKey val="0"/>
          <c:showVal val="1"/>
          <c:showCatName val="0"/>
          <c:showSerName val="0"/>
          <c:showPercent val="0"/>
          <c:showBubbleSize val="0"/>
          <c:showLeaderLines val="1"/>
        </c:dLbls>
        <c:firstSliceAng val="0"/>
        <c:holeSize val="57"/>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[Month1_Week4_Practice(AutoRecovered).xlsx]Pivot tables!PivotTable9</c:name>
    <c:fmtId val="4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t>Category Revenue By Region</a:t>
            </a:r>
          </a:p>
        </c:rich>
      </c:tx>
      <c:layout>
        <c:manualLayout>
          <c:xMode val="edge"/>
          <c:yMode val="edge"/>
          <c:x val="0.40018324154308033"/>
          <c:y val="8.205128205128205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002060"/>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70C0"/>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1B4FF"/>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588FF"/>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DE7FF"/>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DE7FF"/>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1B4FF"/>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588FF"/>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70C0"/>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2060"/>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CDE7FF"/>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61B4FF"/>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0588FF"/>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0070C0"/>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002060"/>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CDE7FF"/>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61B4FF"/>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0588FF"/>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0070C0"/>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002060"/>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CDE7FF"/>
          </a:solidFill>
          <a:ln w="31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61B4FF"/>
          </a:solidFill>
          <a:ln w="31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0588FF"/>
          </a:solidFill>
          <a:ln w="31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0070C0"/>
          </a:solidFill>
          <a:ln w="31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002060"/>
          </a:solidFill>
          <a:ln w="31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tables'!$D$10:$D$11</c:f>
              <c:strCache>
                <c:ptCount val="1"/>
                <c:pt idx="0">
                  <c:v>Sports</c:v>
                </c:pt>
              </c:strCache>
            </c:strRef>
          </c:tx>
          <c:spPr>
            <a:solidFill>
              <a:srgbClr val="CDE7FF"/>
            </a:solidFill>
            <a:ln w="3175">
              <a:solidFill>
                <a:schemeClr val="bg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tables'!$C$12:$C$16</c:f>
              <c:strCache>
                <c:ptCount val="4"/>
                <c:pt idx="0">
                  <c:v>North</c:v>
                </c:pt>
                <c:pt idx="1">
                  <c:v>East</c:v>
                </c:pt>
                <c:pt idx="2">
                  <c:v>South</c:v>
                </c:pt>
                <c:pt idx="3">
                  <c:v>West</c:v>
                </c:pt>
              </c:strCache>
            </c:strRef>
          </c:cat>
          <c:val>
            <c:numRef>
              <c:f>'Pivot tables'!$D$12:$D$16</c:f>
              <c:numCache>
                <c:formatCode>General</c:formatCode>
                <c:ptCount val="4"/>
                <c:pt idx="0">
                  <c:v>18294</c:v>
                </c:pt>
                <c:pt idx="1">
                  <c:v>18654</c:v>
                </c:pt>
                <c:pt idx="2">
                  <c:v>4980</c:v>
                </c:pt>
                <c:pt idx="3">
                  <c:v>5180</c:v>
                </c:pt>
              </c:numCache>
            </c:numRef>
          </c:val>
          <c:extLst>
            <c:ext xmlns:c16="http://schemas.microsoft.com/office/drawing/2014/chart" uri="{C3380CC4-5D6E-409C-BE32-E72D297353CC}">
              <c16:uniqueId val="{00000000-E053-4B80-9D1D-AE8DB2BD9664}"/>
            </c:ext>
          </c:extLst>
        </c:ser>
        <c:ser>
          <c:idx val="1"/>
          <c:order val="1"/>
          <c:tx>
            <c:strRef>
              <c:f>'Pivot tables'!$E$10:$E$11</c:f>
              <c:strCache>
                <c:ptCount val="1"/>
                <c:pt idx="0">
                  <c:v>Electronics</c:v>
                </c:pt>
              </c:strCache>
            </c:strRef>
          </c:tx>
          <c:spPr>
            <a:solidFill>
              <a:srgbClr val="61B4FF"/>
            </a:solidFill>
            <a:ln w="3175">
              <a:solidFill>
                <a:schemeClr val="bg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tables'!$C$12:$C$16</c:f>
              <c:strCache>
                <c:ptCount val="4"/>
                <c:pt idx="0">
                  <c:v>North</c:v>
                </c:pt>
                <c:pt idx="1">
                  <c:v>East</c:v>
                </c:pt>
                <c:pt idx="2">
                  <c:v>South</c:v>
                </c:pt>
                <c:pt idx="3">
                  <c:v>West</c:v>
                </c:pt>
              </c:strCache>
            </c:strRef>
          </c:cat>
          <c:val>
            <c:numRef>
              <c:f>'Pivot tables'!$E$12:$E$16</c:f>
              <c:numCache>
                <c:formatCode>General</c:formatCode>
                <c:ptCount val="4"/>
                <c:pt idx="0">
                  <c:v>11490</c:v>
                </c:pt>
                <c:pt idx="1">
                  <c:v>11290</c:v>
                </c:pt>
                <c:pt idx="2">
                  <c:v>8140</c:v>
                </c:pt>
                <c:pt idx="3">
                  <c:v>8040</c:v>
                </c:pt>
              </c:numCache>
            </c:numRef>
          </c:val>
          <c:extLst>
            <c:ext xmlns:c16="http://schemas.microsoft.com/office/drawing/2014/chart" uri="{C3380CC4-5D6E-409C-BE32-E72D297353CC}">
              <c16:uniqueId val="{00000006-E053-4B80-9D1D-AE8DB2BD9664}"/>
            </c:ext>
          </c:extLst>
        </c:ser>
        <c:ser>
          <c:idx val="2"/>
          <c:order val="2"/>
          <c:tx>
            <c:strRef>
              <c:f>'Pivot tables'!$F$10:$F$11</c:f>
              <c:strCache>
                <c:ptCount val="1"/>
                <c:pt idx="0">
                  <c:v>Home Appliances</c:v>
                </c:pt>
              </c:strCache>
            </c:strRef>
          </c:tx>
          <c:spPr>
            <a:solidFill>
              <a:srgbClr val="0588FF"/>
            </a:solidFill>
            <a:ln w="3175">
              <a:solidFill>
                <a:schemeClr val="bg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tables'!$C$12:$C$16</c:f>
              <c:strCache>
                <c:ptCount val="4"/>
                <c:pt idx="0">
                  <c:v>North</c:v>
                </c:pt>
                <c:pt idx="1">
                  <c:v>East</c:v>
                </c:pt>
                <c:pt idx="2">
                  <c:v>South</c:v>
                </c:pt>
                <c:pt idx="3">
                  <c:v>West</c:v>
                </c:pt>
              </c:strCache>
            </c:strRef>
          </c:cat>
          <c:val>
            <c:numRef>
              <c:f>'Pivot tables'!$F$12:$F$16</c:f>
              <c:numCache>
                <c:formatCode>General</c:formatCode>
                <c:ptCount val="4"/>
                <c:pt idx="0">
                  <c:v>6240</c:v>
                </c:pt>
                <c:pt idx="1">
                  <c:v>5400</c:v>
                </c:pt>
                <c:pt idx="2">
                  <c:v>3840</c:v>
                </c:pt>
                <c:pt idx="3">
                  <c:v>3690</c:v>
                </c:pt>
              </c:numCache>
            </c:numRef>
          </c:val>
          <c:extLst>
            <c:ext xmlns:c16="http://schemas.microsoft.com/office/drawing/2014/chart" uri="{C3380CC4-5D6E-409C-BE32-E72D297353CC}">
              <c16:uniqueId val="{00000007-E053-4B80-9D1D-AE8DB2BD9664}"/>
            </c:ext>
          </c:extLst>
        </c:ser>
        <c:ser>
          <c:idx val="3"/>
          <c:order val="3"/>
          <c:tx>
            <c:strRef>
              <c:f>'Pivot tables'!$G$10:$G$11</c:f>
              <c:strCache>
                <c:ptCount val="1"/>
                <c:pt idx="0">
                  <c:v>Clothing</c:v>
                </c:pt>
              </c:strCache>
            </c:strRef>
          </c:tx>
          <c:spPr>
            <a:solidFill>
              <a:srgbClr val="0070C0"/>
            </a:solidFill>
            <a:ln w="3175">
              <a:solidFill>
                <a:schemeClr val="bg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tables'!$C$12:$C$16</c:f>
              <c:strCache>
                <c:ptCount val="4"/>
                <c:pt idx="0">
                  <c:v>North</c:v>
                </c:pt>
                <c:pt idx="1">
                  <c:v>East</c:v>
                </c:pt>
                <c:pt idx="2">
                  <c:v>South</c:v>
                </c:pt>
                <c:pt idx="3">
                  <c:v>West</c:v>
                </c:pt>
              </c:strCache>
            </c:strRef>
          </c:cat>
          <c:val>
            <c:numRef>
              <c:f>'Pivot tables'!$G$12:$G$16</c:f>
              <c:numCache>
                <c:formatCode>General</c:formatCode>
                <c:ptCount val="4"/>
                <c:pt idx="0">
                  <c:v>2634</c:v>
                </c:pt>
                <c:pt idx="1">
                  <c:v>2452</c:v>
                </c:pt>
                <c:pt idx="2">
                  <c:v>796</c:v>
                </c:pt>
                <c:pt idx="3">
                  <c:v>812</c:v>
                </c:pt>
              </c:numCache>
            </c:numRef>
          </c:val>
          <c:extLst>
            <c:ext xmlns:c16="http://schemas.microsoft.com/office/drawing/2014/chart" uri="{C3380CC4-5D6E-409C-BE32-E72D297353CC}">
              <c16:uniqueId val="{00000008-E053-4B80-9D1D-AE8DB2BD9664}"/>
            </c:ext>
          </c:extLst>
        </c:ser>
        <c:ser>
          <c:idx val="4"/>
          <c:order val="4"/>
          <c:tx>
            <c:strRef>
              <c:f>'Pivot tables'!$H$10:$H$11</c:f>
              <c:strCache>
                <c:ptCount val="1"/>
                <c:pt idx="0">
                  <c:v>Beauty</c:v>
                </c:pt>
              </c:strCache>
            </c:strRef>
          </c:tx>
          <c:spPr>
            <a:solidFill>
              <a:srgbClr val="002060"/>
            </a:solidFill>
            <a:ln w="3175">
              <a:solidFill>
                <a:schemeClr val="bg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tables'!$C$12:$C$16</c:f>
              <c:strCache>
                <c:ptCount val="4"/>
                <c:pt idx="0">
                  <c:v>North</c:v>
                </c:pt>
                <c:pt idx="1">
                  <c:v>East</c:v>
                </c:pt>
                <c:pt idx="2">
                  <c:v>South</c:v>
                </c:pt>
                <c:pt idx="3">
                  <c:v>West</c:v>
                </c:pt>
              </c:strCache>
            </c:strRef>
          </c:cat>
          <c:val>
            <c:numRef>
              <c:f>'Pivot tables'!$H$12:$H$16</c:f>
              <c:numCache>
                <c:formatCode>General</c:formatCode>
                <c:ptCount val="4"/>
                <c:pt idx="0">
                  <c:v>777</c:v>
                </c:pt>
                <c:pt idx="1">
                  <c:v>795</c:v>
                </c:pt>
                <c:pt idx="2">
                  <c:v>878</c:v>
                </c:pt>
                <c:pt idx="3">
                  <c:v>841</c:v>
                </c:pt>
              </c:numCache>
            </c:numRef>
          </c:val>
          <c:extLst>
            <c:ext xmlns:c16="http://schemas.microsoft.com/office/drawing/2014/chart" uri="{C3380CC4-5D6E-409C-BE32-E72D297353CC}">
              <c16:uniqueId val="{00000009-E053-4B80-9D1D-AE8DB2BD9664}"/>
            </c:ext>
          </c:extLst>
        </c:ser>
        <c:dLbls>
          <c:dLblPos val="outEnd"/>
          <c:showLegendKey val="0"/>
          <c:showVal val="1"/>
          <c:showCatName val="0"/>
          <c:showSerName val="0"/>
          <c:showPercent val="0"/>
          <c:showBubbleSize val="0"/>
        </c:dLbls>
        <c:gapWidth val="219"/>
        <c:overlap val="-27"/>
        <c:axId val="1702405103"/>
        <c:axId val="1621589887"/>
      </c:barChart>
      <c:catAx>
        <c:axId val="170240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21589887"/>
        <c:crosses val="autoZero"/>
        <c:auto val="1"/>
        <c:lblAlgn val="ctr"/>
        <c:lblOffset val="100"/>
        <c:noMultiLvlLbl val="0"/>
      </c:catAx>
      <c:valAx>
        <c:axId val="1621589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02405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[Month1_Week4_Practice(AutoRecovered).xlsx]Pivot tables!PivotTable13</c:name>
    <c:fmtId val="2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t>Underperforming Products</a:t>
            </a:r>
          </a:p>
        </c:rich>
      </c:tx>
      <c:layout>
        <c:manualLayout>
          <c:xMode val="edge"/>
          <c:yMode val="edge"/>
          <c:x val="0.32931533925007539"/>
          <c:y val="6.58436213991769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85C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5C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5C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85C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85C8FF"/>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tables'!$J$45</c:f>
              <c:strCache>
                <c:ptCount val="1"/>
                <c:pt idx="0">
                  <c:v>Total</c:v>
                </c:pt>
              </c:strCache>
            </c:strRef>
          </c:tx>
          <c:spPr>
            <a:solidFill>
              <a:srgbClr val="85C8FF"/>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tables'!$I$46:$I$61</c:f>
              <c:strCache>
                <c:ptCount val="15"/>
                <c:pt idx="0">
                  <c:v>MAC Lipstick</c:v>
                </c:pt>
                <c:pt idx="1">
                  <c:v>Charlotte Tilbury</c:v>
                </c:pt>
                <c:pt idx="2">
                  <c:v>Fenty Foundation</c:v>
                </c:pt>
                <c:pt idx="3">
                  <c:v>Zara Dress</c:v>
                </c:pt>
                <c:pt idx="4">
                  <c:v>Levi Jeans</c:v>
                </c:pt>
                <c:pt idx="5">
                  <c:v>Tatcha Serum</c:v>
                </c:pt>
                <c:pt idx="6">
                  <c:v>Ralph Lauren Polo</c:v>
                </c:pt>
                <c:pt idx="7">
                  <c:v>Dior Perfume</c:v>
                </c:pt>
                <c:pt idx="8">
                  <c:v>Ninja Blender</c:v>
                </c:pt>
                <c:pt idx="9">
                  <c:v>SK-II Essence</c:v>
                </c:pt>
                <c:pt idx="10">
                  <c:v>Nike Hoodie</c:v>
                </c:pt>
                <c:pt idx="11">
                  <c:v>Adidas Tracksuit</c:v>
                </c:pt>
                <c:pt idx="12">
                  <c:v>AirPods Pro</c:v>
                </c:pt>
                <c:pt idx="13">
                  <c:v>Fitbit Tracker</c:v>
                </c:pt>
                <c:pt idx="14">
                  <c:v>Instant Pot</c:v>
                </c:pt>
              </c:strCache>
            </c:strRef>
          </c:cat>
          <c:val>
            <c:numRef>
              <c:f>'Pivot tables'!$J$46:$J$61</c:f>
              <c:numCache>
                <c:formatCode>General</c:formatCode>
                <c:ptCount val="15"/>
                <c:pt idx="0">
                  <c:v>168</c:v>
                </c:pt>
                <c:pt idx="1">
                  <c:v>228</c:v>
                </c:pt>
                <c:pt idx="2">
                  <c:v>294</c:v>
                </c:pt>
                <c:pt idx="3">
                  <c:v>390</c:v>
                </c:pt>
                <c:pt idx="4">
                  <c:v>553</c:v>
                </c:pt>
                <c:pt idx="5">
                  <c:v>616</c:v>
                </c:pt>
                <c:pt idx="6">
                  <c:v>665</c:v>
                </c:pt>
                <c:pt idx="7">
                  <c:v>875</c:v>
                </c:pt>
                <c:pt idx="8">
                  <c:v>894</c:v>
                </c:pt>
                <c:pt idx="9">
                  <c:v>1110</c:v>
                </c:pt>
                <c:pt idx="10">
                  <c:v>1246</c:v>
                </c:pt>
                <c:pt idx="11">
                  <c:v>1320</c:v>
                </c:pt>
                <c:pt idx="12">
                  <c:v>1743</c:v>
                </c:pt>
                <c:pt idx="13">
                  <c:v>1788</c:v>
                </c:pt>
                <c:pt idx="14">
                  <c:v>1806</c:v>
                </c:pt>
              </c:numCache>
            </c:numRef>
          </c:val>
          <c:extLst>
            <c:ext xmlns:c16="http://schemas.microsoft.com/office/drawing/2014/chart" uri="{C3380CC4-5D6E-409C-BE32-E72D297353CC}">
              <c16:uniqueId val="{00000000-6EAC-4639-95ED-4719B1B42BAA}"/>
            </c:ext>
          </c:extLst>
        </c:ser>
        <c:dLbls>
          <c:dLblPos val="outEnd"/>
          <c:showLegendKey val="0"/>
          <c:showVal val="1"/>
          <c:showCatName val="0"/>
          <c:showSerName val="0"/>
          <c:showPercent val="0"/>
          <c:showBubbleSize val="0"/>
        </c:dLbls>
        <c:gapWidth val="182"/>
        <c:axId val="710918928"/>
        <c:axId val="705098304"/>
      </c:barChart>
      <c:catAx>
        <c:axId val="710918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05098304"/>
        <c:crosses val="autoZero"/>
        <c:auto val="1"/>
        <c:lblAlgn val="ctr"/>
        <c:lblOffset val="100"/>
        <c:noMultiLvlLbl val="0"/>
      </c:catAx>
      <c:valAx>
        <c:axId val="705098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10918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Revenue by Region (Highest to Lowest)</a:t>
            </a:r>
          </a:p>
        </c:rich>
      </c:tx>
      <c:layout>
        <c:manualLayout>
          <c:xMode val="edge"/>
          <c:yMode val="edge"/>
          <c:x val="0.16205469824627611"/>
          <c:y val="2.352156761061619E-2"/>
        </c:manualLayout>
      </c:layout>
      <c:overlay val="0"/>
      <c:spPr>
        <a:noFill/>
        <a:ln w="0">
          <a:noFill/>
        </a:ln>
      </c:spPr>
    </c:title>
    <c:autoTitleDeleted val="0"/>
    <c:plotArea>
      <c:layout/>
      <c:barChart>
        <c:barDir val="col"/>
        <c:grouping val="clustered"/>
        <c:varyColors val="0"/>
        <c:ser>
          <c:idx val="0"/>
          <c:order val="0"/>
          <c:tx>
            <c:strRef>
              <c:f>'[1]PT1 Revenue by Region'!$B$5</c:f>
              <c:strCache>
                <c:ptCount val="1"/>
                <c:pt idx="0">
                  <c:v>Total Revenue</c:v>
                </c:pt>
              </c:strCache>
            </c:strRef>
          </c:tx>
          <c:spPr>
            <a:solidFill>
              <a:srgbClr val="4472C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'[1]PT1 Revenue by Region'!$A$6:$A$9</c:f>
              <c:strCache>
                <c:ptCount val="4"/>
                <c:pt idx="0">
                  <c:v>East</c:v>
                </c:pt>
                <c:pt idx="1">
                  <c:v>North</c:v>
                </c:pt>
                <c:pt idx="2">
                  <c:v>South</c:v>
                </c:pt>
                <c:pt idx="3">
                  <c:v>West</c:v>
                </c:pt>
              </c:strCache>
            </c:strRef>
          </c:cat>
          <c:val>
            <c:numRef>
              <c:f>'[1]PT1 Revenue by Region'!$B$6:$B$9</c:f>
              <c:numCache>
                <c:formatCode>\$#,##0</c:formatCode>
                <c:ptCount val="4"/>
                <c:pt idx="0">
                  <c:v>29668.789999999994</c:v>
                </c:pt>
                <c:pt idx="1">
                  <c:v>28357.999999999996</c:v>
                </c:pt>
                <c:pt idx="2">
                  <c:v>27508.989999999998</c:v>
                </c:pt>
                <c:pt idx="3">
                  <c:v>27376.14</c:v>
                </c:pt>
              </c:numCache>
            </c:numRef>
          </c:val>
          <c:extLst>
            <c:ext xmlns:c16="http://schemas.microsoft.com/office/drawing/2014/chart" uri="{C3380CC4-5D6E-409C-BE32-E72D297353CC}">
              <c16:uniqueId val="{00000000-4009-4BA2-931D-CE40034A6B71}"/>
            </c:ext>
          </c:extLst>
        </c:ser>
        <c:dLbls>
          <c:showLegendKey val="0"/>
          <c:showVal val="0"/>
          <c:showCatName val="0"/>
          <c:showSerName val="0"/>
          <c:showPercent val="0"/>
          <c:showBubbleSize val="0"/>
        </c:dLbls>
        <c:gapWidth val="150"/>
        <c:axId val="54100701"/>
        <c:axId val="63896131"/>
      </c:barChart>
      <c:catAx>
        <c:axId val="54100701"/>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Region</a:t>
                </a:r>
              </a:p>
            </c:rich>
          </c:tx>
          <c:overlay val="0"/>
          <c:spPr>
            <a:noFill/>
            <a:ln w="0">
              <a:noFill/>
            </a:ln>
          </c:spPr>
        </c:title>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63896131"/>
        <c:crosses val="autoZero"/>
        <c:auto val="1"/>
        <c:lblAlgn val="ctr"/>
        <c:lblOffset val="100"/>
        <c:noMultiLvlLbl val="0"/>
      </c:catAx>
      <c:valAx>
        <c:axId val="63896131"/>
        <c:scaling>
          <c:orientation val="minMax"/>
        </c:scaling>
        <c:delete val="0"/>
        <c:axPos val="l"/>
        <c:majorGridlines>
          <c:spPr>
            <a:ln w="6480">
              <a:solidFill>
                <a:srgbClr val="8B8B8B"/>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Revenue ($)</a:t>
                </a:r>
              </a:p>
            </c:rich>
          </c:tx>
          <c:overlay val="0"/>
          <c:spPr>
            <a:noFill/>
            <a:ln w="0">
              <a:noFill/>
            </a:ln>
          </c:spPr>
        </c:title>
        <c:numFmt formatCode="\$#,##0"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5410070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10" Type="http://schemas.openxmlformats.org/officeDocument/2006/relationships/chart" Target="../charts/chart13.xml"/><Relationship Id="rId4" Type="http://schemas.openxmlformats.org/officeDocument/2006/relationships/chart" Target="../charts/chart7.xml"/><Relationship Id="rId9"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8" Type="http://schemas.openxmlformats.org/officeDocument/2006/relationships/chart" Target="../charts/chart21.xml"/><Relationship Id="rId3" Type="http://schemas.openxmlformats.org/officeDocument/2006/relationships/chart" Target="../charts/chart16.xml"/><Relationship Id="rId7" Type="http://schemas.openxmlformats.org/officeDocument/2006/relationships/chart" Target="../charts/chart20.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5" Type="http://schemas.openxmlformats.org/officeDocument/2006/relationships/chart" Target="../charts/chart18.xml"/><Relationship Id="rId10" Type="http://schemas.openxmlformats.org/officeDocument/2006/relationships/chart" Target="../charts/chart23.xml"/><Relationship Id="rId4" Type="http://schemas.openxmlformats.org/officeDocument/2006/relationships/chart" Target="../charts/chart17.xml"/><Relationship Id="rId9" Type="http://schemas.openxmlformats.org/officeDocument/2006/relationships/chart" Target="../charts/chart2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6.xml"/><Relationship Id="rId7" Type="http://schemas.openxmlformats.org/officeDocument/2006/relationships/chart" Target="../charts/chart30.xml"/><Relationship Id="rId2" Type="http://schemas.openxmlformats.org/officeDocument/2006/relationships/chart" Target="../charts/chart25.xml"/><Relationship Id="rId1" Type="http://schemas.openxmlformats.org/officeDocument/2006/relationships/chart" Target="../charts/chart24.xml"/><Relationship Id="rId6" Type="http://schemas.openxmlformats.org/officeDocument/2006/relationships/chart" Target="../charts/chart29.xml"/><Relationship Id="rId5" Type="http://schemas.openxmlformats.org/officeDocument/2006/relationships/chart" Target="../charts/chart28.xml"/><Relationship Id="rId4" Type="http://schemas.openxmlformats.org/officeDocument/2006/relationships/chart" Target="../charts/chart27.xml"/></Relationships>
</file>

<file path=xl/drawings/_rels/drawing6.xml.rels><?xml version="1.0" encoding="UTF-8" standalone="yes"?>
<Relationships xmlns="http://schemas.openxmlformats.org/package/2006/relationships"><Relationship Id="rId8" Type="http://schemas.openxmlformats.org/officeDocument/2006/relationships/chart" Target="../charts/chart35.xml"/><Relationship Id="rId13" Type="http://schemas.openxmlformats.org/officeDocument/2006/relationships/customXml" Target="../ink/ink4.xml"/><Relationship Id="rId7" Type="http://schemas.openxmlformats.org/officeDocument/2006/relationships/chart" Target="../charts/chart34.xml"/><Relationship Id="rId12" Type="http://schemas.openxmlformats.org/officeDocument/2006/relationships/image" Target="../media/image3.png"/><Relationship Id="rId17" Type="http://schemas.openxmlformats.org/officeDocument/2006/relationships/chart" Target="../charts/chart38.xml"/><Relationship Id="rId2" Type="http://schemas.openxmlformats.org/officeDocument/2006/relationships/customXml" Target="../ink/ink1.xml"/><Relationship Id="rId16" Type="http://schemas.openxmlformats.org/officeDocument/2006/relationships/chart" Target="../charts/chart37.xml"/><Relationship Id="rId1" Type="http://schemas.openxmlformats.org/officeDocument/2006/relationships/chart" Target="../charts/chart31.xml"/><Relationship Id="rId6" Type="http://schemas.openxmlformats.org/officeDocument/2006/relationships/chart" Target="../charts/chart33.xml"/><Relationship Id="rId11" Type="http://schemas.openxmlformats.org/officeDocument/2006/relationships/customXml" Target="../ink/ink3.xml"/><Relationship Id="rId5" Type="http://schemas.openxmlformats.org/officeDocument/2006/relationships/chart" Target="../charts/chart32.xml"/><Relationship Id="rId15" Type="http://schemas.openxmlformats.org/officeDocument/2006/relationships/chart" Target="../charts/chart36.xml"/><Relationship Id="rId10" Type="http://schemas.openxmlformats.org/officeDocument/2006/relationships/image" Target="../media/image2.png"/><Relationship Id="rId4" Type="http://schemas.openxmlformats.org/officeDocument/2006/relationships/image" Target="../media/image1.png"/><Relationship Id="rId9" Type="http://schemas.openxmlformats.org/officeDocument/2006/relationships/customXml" Target="../ink/ink2.xml"/><Relationship Id="rId14" Type="http://schemas.openxmlformats.org/officeDocument/2006/relationships/image" Target="../media/image4.png"/></Relationships>
</file>

<file path=xl/drawings/_rels/drawing7.xml.rels><?xml version="1.0" encoding="UTF-8" standalone="yes"?>
<Relationships xmlns="http://schemas.openxmlformats.org/package/2006/relationships"><Relationship Id="rId117" Type="http://schemas.openxmlformats.org/officeDocument/2006/relationships/image" Target="../media/image56.png"/><Relationship Id="rId21" Type="http://schemas.openxmlformats.org/officeDocument/2006/relationships/customXml" Target="../ink/ink15.xml"/><Relationship Id="rId42" Type="http://schemas.openxmlformats.org/officeDocument/2006/relationships/customXml" Target="../ink/ink26.xml"/><Relationship Id="rId63" Type="http://schemas.openxmlformats.org/officeDocument/2006/relationships/image" Target="../media/image30.png"/><Relationship Id="rId84" Type="http://schemas.openxmlformats.org/officeDocument/2006/relationships/image" Target="../media/image40.png"/><Relationship Id="rId138" Type="http://schemas.openxmlformats.org/officeDocument/2006/relationships/customXml" Target="../ink/ink77.xml"/><Relationship Id="rId107" Type="http://schemas.openxmlformats.org/officeDocument/2006/relationships/image" Target="../media/image51.png"/><Relationship Id="rId11" Type="http://schemas.openxmlformats.org/officeDocument/2006/relationships/customXml" Target="../ink/ink10.xml"/><Relationship Id="rId32" Type="http://schemas.openxmlformats.org/officeDocument/2006/relationships/customXml" Target="../ink/ink21.xml"/><Relationship Id="rId37" Type="http://schemas.openxmlformats.org/officeDocument/2006/relationships/image" Target="../media/image18.png"/><Relationship Id="rId53" Type="http://schemas.openxmlformats.org/officeDocument/2006/relationships/customXml" Target="../ink/ink32.xml"/><Relationship Id="rId58" Type="http://schemas.openxmlformats.org/officeDocument/2006/relationships/image" Target="../media/image28.png"/><Relationship Id="rId74" Type="http://schemas.openxmlformats.org/officeDocument/2006/relationships/image" Target="../media/image35.png"/><Relationship Id="rId79" Type="http://schemas.openxmlformats.org/officeDocument/2006/relationships/customXml" Target="../ink/ink46.xml"/><Relationship Id="rId102" Type="http://schemas.openxmlformats.org/officeDocument/2006/relationships/image" Target="../media/image49.png"/><Relationship Id="rId123" Type="http://schemas.openxmlformats.org/officeDocument/2006/relationships/customXml" Target="../ink/ink69.xml"/><Relationship Id="rId128" Type="http://schemas.openxmlformats.org/officeDocument/2006/relationships/image" Target="../media/image61.png"/><Relationship Id="rId5" Type="http://schemas.openxmlformats.org/officeDocument/2006/relationships/customXml" Target="../ink/ink7.xml"/><Relationship Id="rId90" Type="http://schemas.openxmlformats.org/officeDocument/2006/relationships/image" Target="../media/image43.png"/><Relationship Id="rId95" Type="http://schemas.openxmlformats.org/officeDocument/2006/relationships/customXml" Target="../ink/ink54.xml"/><Relationship Id="rId22" Type="http://schemas.openxmlformats.org/officeDocument/2006/relationships/image" Target="../media/image11.png"/><Relationship Id="rId27" Type="http://schemas.openxmlformats.org/officeDocument/2006/relationships/customXml" Target="../ink/ink18.xml"/><Relationship Id="rId43" Type="http://schemas.openxmlformats.org/officeDocument/2006/relationships/image" Target="../media/image21.png"/><Relationship Id="rId48" Type="http://schemas.openxmlformats.org/officeDocument/2006/relationships/image" Target="../media/image23.png"/><Relationship Id="rId64" Type="http://schemas.openxmlformats.org/officeDocument/2006/relationships/customXml" Target="../ink/ink38.xml"/><Relationship Id="rId69" Type="http://schemas.openxmlformats.org/officeDocument/2006/relationships/image" Target="../media/image33.png"/><Relationship Id="rId113" Type="http://schemas.openxmlformats.org/officeDocument/2006/relationships/image" Target="../media/image54.png"/><Relationship Id="rId118" Type="http://schemas.openxmlformats.org/officeDocument/2006/relationships/customXml" Target="../ink/ink66.xml"/><Relationship Id="rId134" Type="http://schemas.openxmlformats.org/officeDocument/2006/relationships/customXml" Target="../ink/ink75.xml"/><Relationship Id="rId139" Type="http://schemas.openxmlformats.org/officeDocument/2006/relationships/image" Target="../media/image66.png"/><Relationship Id="rId80" Type="http://schemas.openxmlformats.org/officeDocument/2006/relationships/image" Target="../media/image38.png"/><Relationship Id="rId85" Type="http://schemas.openxmlformats.org/officeDocument/2006/relationships/customXml" Target="../ink/ink49.xml"/><Relationship Id="rId12" Type="http://schemas.openxmlformats.org/officeDocument/2006/relationships/image" Target="../media/image69.png"/><Relationship Id="rId17" Type="http://schemas.openxmlformats.org/officeDocument/2006/relationships/customXml" Target="../ink/ink13.xml"/><Relationship Id="rId33" Type="http://schemas.openxmlformats.org/officeDocument/2006/relationships/image" Target="../media/image16.png"/><Relationship Id="rId38" Type="http://schemas.openxmlformats.org/officeDocument/2006/relationships/customXml" Target="../ink/ink24.xml"/><Relationship Id="rId59" Type="http://schemas.openxmlformats.org/officeDocument/2006/relationships/customXml" Target="../ink/ink35.xml"/><Relationship Id="rId103" Type="http://schemas.openxmlformats.org/officeDocument/2006/relationships/customXml" Target="../ink/ink58.xml"/><Relationship Id="rId108" Type="http://schemas.openxmlformats.org/officeDocument/2006/relationships/customXml" Target="../ink/ink61.xml"/><Relationship Id="rId124" Type="http://schemas.openxmlformats.org/officeDocument/2006/relationships/image" Target="../media/image59.png"/><Relationship Id="rId129" Type="http://schemas.openxmlformats.org/officeDocument/2006/relationships/customXml" Target="../ink/ink72.xml"/><Relationship Id="rId54" Type="http://schemas.openxmlformats.org/officeDocument/2006/relationships/image" Target="../media/image26.png"/><Relationship Id="rId70" Type="http://schemas.openxmlformats.org/officeDocument/2006/relationships/customXml" Target="../ink/ink41.xml"/><Relationship Id="rId75" Type="http://schemas.openxmlformats.org/officeDocument/2006/relationships/customXml" Target="../ink/ink44.xml"/><Relationship Id="rId91" Type="http://schemas.openxmlformats.org/officeDocument/2006/relationships/customXml" Target="../ink/ink52.xml"/><Relationship Id="rId96" Type="http://schemas.openxmlformats.org/officeDocument/2006/relationships/image" Target="../media/image46.png"/><Relationship Id="rId140" Type="http://schemas.openxmlformats.org/officeDocument/2006/relationships/customXml" Target="../ink/ink78.xml"/><Relationship Id="rId1" Type="http://schemas.openxmlformats.org/officeDocument/2006/relationships/customXml" Target="../ink/ink5.xml"/><Relationship Id="rId6" Type="http://schemas.openxmlformats.org/officeDocument/2006/relationships/image" Target="../media/image310.png"/><Relationship Id="rId23" Type="http://schemas.openxmlformats.org/officeDocument/2006/relationships/customXml" Target="../ink/ink16.xml"/><Relationship Id="rId28" Type="http://schemas.openxmlformats.org/officeDocument/2006/relationships/image" Target="../media/image14.png"/><Relationship Id="rId49" Type="http://schemas.openxmlformats.org/officeDocument/2006/relationships/customXml" Target="../ink/ink30.xml"/><Relationship Id="rId114" Type="http://schemas.openxmlformats.org/officeDocument/2006/relationships/customXml" Target="../ink/ink64.xml"/><Relationship Id="rId119" Type="http://schemas.openxmlformats.org/officeDocument/2006/relationships/customXml" Target="../ink/ink67.xml"/><Relationship Id="rId44" Type="http://schemas.openxmlformats.org/officeDocument/2006/relationships/customXml" Target="../ink/ink27.xml"/><Relationship Id="rId60" Type="http://schemas.openxmlformats.org/officeDocument/2006/relationships/image" Target="../media/image29.png"/><Relationship Id="rId65" Type="http://schemas.openxmlformats.org/officeDocument/2006/relationships/image" Target="../media/image31.png"/><Relationship Id="rId81" Type="http://schemas.openxmlformats.org/officeDocument/2006/relationships/customXml" Target="../ink/ink47.xml"/><Relationship Id="rId86" Type="http://schemas.openxmlformats.org/officeDocument/2006/relationships/image" Target="../media/image41.png"/><Relationship Id="rId130" Type="http://schemas.openxmlformats.org/officeDocument/2006/relationships/image" Target="../media/image62.png"/><Relationship Id="rId135" Type="http://schemas.openxmlformats.org/officeDocument/2006/relationships/image" Target="../media/image64.png"/><Relationship Id="rId13" Type="http://schemas.openxmlformats.org/officeDocument/2006/relationships/customXml" Target="../ink/ink11.xml"/><Relationship Id="rId18" Type="http://schemas.openxmlformats.org/officeDocument/2006/relationships/image" Target="../media/image90.png"/><Relationship Id="rId39" Type="http://schemas.openxmlformats.org/officeDocument/2006/relationships/image" Target="../media/image19.png"/><Relationship Id="rId109" Type="http://schemas.openxmlformats.org/officeDocument/2006/relationships/image" Target="../media/image52.png"/><Relationship Id="rId34" Type="http://schemas.openxmlformats.org/officeDocument/2006/relationships/customXml" Target="../ink/ink22.xml"/><Relationship Id="rId50" Type="http://schemas.openxmlformats.org/officeDocument/2006/relationships/image" Target="../media/image24.png"/><Relationship Id="rId55" Type="http://schemas.openxmlformats.org/officeDocument/2006/relationships/customXml" Target="../ink/ink33.xml"/><Relationship Id="rId76" Type="http://schemas.openxmlformats.org/officeDocument/2006/relationships/image" Target="../media/image36.png"/><Relationship Id="rId97" Type="http://schemas.openxmlformats.org/officeDocument/2006/relationships/customXml" Target="../ink/ink55.xml"/><Relationship Id="rId104" Type="http://schemas.openxmlformats.org/officeDocument/2006/relationships/customXml" Target="../ink/ink59.xml"/><Relationship Id="rId120" Type="http://schemas.openxmlformats.org/officeDocument/2006/relationships/image" Target="../media/image57.png"/><Relationship Id="rId125" Type="http://schemas.openxmlformats.org/officeDocument/2006/relationships/customXml" Target="../ink/ink70.xml"/><Relationship Id="rId141" Type="http://schemas.openxmlformats.org/officeDocument/2006/relationships/image" Target="../media/image67.png"/><Relationship Id="rId7" Type="http://schemas.openxmlformats.org/officeDocument/2006/relationships/customXml" Target="../ink/ink8.xml"/><Relationship Id="rId71" Type="http://schemas.openxmlformats.org/officeDocument/2006/relationships/customXml" Target="../ink/ink42.xml"/><Relationship Id="rId92" Type="http://schemas.openxmlformats.org/officeDocument/2006/relationships/image" Target="../media/image44.png"/><Relationship Id="rId2" Type="http://schemas.openxmlformats.org/officeDocument/2006/relationships/image" Target="../media/image110.png"/><Relationship Id="rId29" Type="http://schemas.openxmlformats.org/officeDocument/2006/relationships/customXml" Target="../ink/ink19.xml"/><Relationship Id="rId24" Type="http://schemas.openxmlformats.org/officeDocument/2006/relationships/image" Target="../media/image12.png"/><Relationship Id="rId40" Type="http://schemas.openxmlformats.org/officeDocument/2006/relationships/customXml" Target="../ink/ink25.xml"/><Relationship Id="rId45" Type="http://schemas.openxmlformats.org/officeDocument/2006/relationships/customXml" Target="../ink/ink28.xml"/><Relationship Id="rId66" Type="http://schemas.openxmlformats.org/officeDocument/2006/relationships/customXml" Target="../ink/ink39.xml"/><Relationship Id="rId87" Type="http://schemas.openxmlformats.org/officeDocument/2006/relationships/customXml" Target="../ink/ink50.xml"/><Relationship Id="rId110" Type="http://schemas.openxmlformats.org/officeDocument/2006/relationships/customXml" Target="../ink/ink62.xml"/><Relationship Id="rId115" Type="http://schemas.openxmlformats.org/officeDocument/2006/relationships/image" Target="../media/image55.png"/><Relationship Id="rId131" Type="http://schemas.openxmlformats.org/officeDocument/2006/relationships/customXml" Target="../ink/ink73.xml"/><Relationship Id="rId136" Type="http://schemas.openxmlformats.org/officeDocument/2006/relationships/customXml" Target="../ink/ink76.xml"/><Relationship Id="rId61" Type="http://schemas.openxmlformats.org/officeDocument/2006/relationships/customXml" Target="../ink/ink36.xml"/><Relationship Id="rId82" Type="http://schemas.openxmlformats.org/officeDocument/2006/relationships/image" Target="../media/image39.png"/><Relationship Id="rId19" Type="http://schemas.openxmlformats.org/officeDocument/2006/relationships/customXml" Target="../ink/ink14.xml"/><Relationship Id="rId14" Type="http://schemas.openxmlformats.org/officeDocument/2006/relationships/image" Target="../media/image70.png"/><Relationship Id="rId30" Type="http://schemas.openxmlformats.org/officeDocument/2006/relationships/image" Target="../media/image15.png"/><Relationship Id="rId35" Type="http://schemas.openxmlformats.org/officeDocument/2006/relationships/image" Target="../media/image17.png"/><Relationship Id="rId56" Type="http://schemas.openxmlformats.org/officeDocument/2006/relationships/image" Target="../media/image27.png"/><Relationship Id="rId77" Type="http://schemas.openxmlformats.org/officeDocument/2006/relationships/customXml" Target="../ink/ink45.xml"/><Relationship Id="rId100" Type="http://schemas.openxmlformats.org/officeDocument/2006/relationships/image" Target="../media/image48.png"/><Relationship Id="rId105" Type="http://schemas.openxmlformats.org/officeDocument/2006/relationships/image" Target="../media/image50.png"/><Relationship Id="rId126" Type="http://schemas.openxmlformats.org/officeDocument/2006/relationships/image" Target="../media/image60.png"/><Relationship Id="rId8" Type="http://schemas.openxmlformats.org/officeDocument/2006/relationships/image" Target="../media/image410.png"/><Relationship Id="rId51" Type="http://schemas.openxmlformats.org/officeDocument/2006/relationships/customXml" Target="../ink/ink31.xml"/><Relationship Id="rId72" Type="http://schemas.openxmlformats.org/officeDocument/2006/relationships/image" Target="../media/image34.png"/><Relationship Id="rId93" Type="http://schemas.openxmlformats.org/officeDocument/2006/relationships/customXml" Target="../ink/ink53.xml"/><Relationship Id="rId98" Type="http://schemas.openxmlformats.org/officeDocument/2006/relationships/image" Target="../media/image47.png"/><Relationship Id="rId121" Type="http://schemas.openxmlformats.org/officeDocument/2006/relationships/customXml" Target="../ink/ink68.xml"/><Relationship Id="rId142" Type="http://schemas.openxmlformats.org/officeDocument/2006/relationships/customXml" Target="../ink/ink79.xml"/><Relationship Id="rId3" Type="http://schemas.openxmlformats.org/officeDocument/2006/relationships/customXml" Target="../ink/ink6.xml"/><Relationship Id="rId25" Type="http://schemas.openxmlformats.org/officeDocument/2006/relationships/customXml" Target="../ink/ink17.xml"/><Relationship Id="rId46" Type="http://schemas.openxmlformats.org/officeDocument/2006/relationships/image" Target="../media/image22.png"/><Relationship Id="rId67" Type="http://schemas.openxmlformats.org/officeDocument/2006/relationships/image" Target="../media/image32.png"/><Relationship Id="rId116" Type="http://schemas.openxmlformats.org/officeDocument/2006/relationships/customXml" Target="../ink/ink65.xml"/><Relationship Id="rId137" Type="http://schemas.openxmlformats.org/officeDocument/2006/relationships/image" Target="../media/image65.png"/><Relationship Id="rId20" Type="http://schemas.openxmlformats.org/officeDocument/2006/relationships/image" Target="../media/image10.png"/><Relationship Id="rId41" Type="http://schemas.openxmlformats.org/officeDocument/2006/relationships/image" Target="../media/image20.png"/><Relationship Id="rId62" Type="http://schemas.openxmlformats.org/officeDocument/2006/relationships/customXml" Target="../ink/ink37.xml"/><Relationship Id="rId83" Type="http://schemas.openxmlformats.org/officeDocument/2006/relationships/customXml" Target="../ink/ink48.xml"/><Relationship Id="rId88" Type="http://schemas.openxmlformats.org/officeDocument/2006/relationships/image" Target="../media/image42.png"/><Relationship Id="rId111" Type="http://schemas.openxmlformats.org/officeDocument/2006/relationships/image" Target="../media/image53.png"/><Relationship Id="rId132" Type="http://schemas.openxmlformats.org/officeDocument/2006/relationships/image" Target="../media/image63.png"/><Relationship Id="rId15" Type="http://schemas.openxmlformats.org/officeDocument/2006/relationships/customXml" Target="../ink/ink12.xml"/><Relationship Id="rId36" Type="http://schemas.openxmlformats.org/officeDocument/2006/relationships/customXml" Target="../ink/ink23.xml"/><Relationship Id="rId57" Type="http://schemas.openxmlformats.org/officeDocument/2006/relationships/customXml" Target="../ink/ink34.xml"/><Relationship Id="rId106" Type="http://schemas.openxmlformats.org/officeDocument/2006/relationships/customXml" Target="../ink/ink60.xml"/><Relationship Id="rId127" Type="http://schemas.openxmlformats.org/officeDocument/2006/relationships/customXml" Target="../ink/ink71.xml"/><Relationship Id="rId10" Type="http://schemas.openxmlformats.org/officeDocument/2006/relationships/image" Target="../media/image510.png"/><Relationship Id="rId31" Type="http://schemas.openxmlformats.org/officeDocument/2006/relationships/customXml" Target="../ink/ink20.xml"/><Relationship Id="rId52" Type="http://schemas.openxmlformats.org/officeDocument/2006/relationships/image" Target="../media/image25.png"/><Relationship Id="rId73" Type="http://schemas.openxmlformats.org/officeDocument/2006/relationships/customXml" Target="../ink/ink43.xml"/><Relationship Id="rId78" Type="http://schemas.openxmlformats.org/officeDocument/2006/relationships/image" Target="../media/image37.png"/><Relationship Id="rId94" Type="http://schemas.openxmlformats.org/officeDocument/2006/relationships/image" Target="../media/image45.png"/><Relationship Id="rId99" Type="http://schemas.openxmlformats.org/officeDocument/2006/relationships/customXml" Target="../ink/ink56.xml"/><Relationship Id="rId101" Type="http://schemas.openxmlformats.org/officeDocument/2006/relationships/customXml" Target="../ink/ink57.xml"/><Relationship Id="rId122" Type="http://schemas.openxmlformats.org/officeDocument/2006/relationships/image" Target="../media/image58.png"/><Relationship Id="rId143" Type="http://schemas.openxmlformats.org/officeDocument/2006/relationships/image" Target="../media/image68.png"/><Relationship Id="rId4" Type="http://schemas.openxmlformats.org/officeDocument/2006/relationships/image" Target="../media/image210.png"/><Relationship Id="rId9" Type="http://schemas.openxmlformats.org/officeDocument/2006/relationships/customXml" Target="../ink/ink9.xml"/><Relationship Id="rId26" Type="http://schemas.openxmlformats.org/officeDocument/2006/relationships/image" Target="../media/image13.png"/><Relationship Id="rId47" Type="http://schemas.openxmlformats.org/officeDocument/2006/relationships/customXml" Target="../ink/ink29.xml"/><Relationship Id="rId68" Type="http://schemas.openxmlformats.org/officeDocument/2006/relationships/customXml" Target="../ink/ink40.xml"/><Relationship Id="rId89" Type="http://schemas.openxmlformats.org/officeDocument/2006/relationships/customXml" Target="../ink/ink51.xml"/><Relationship Id="rId112" Type="http://schemas.openxmlformats.org/officeDocument/2006/relationships/customXml" Target="../ink/ink63.xml"/><Relationship Id="rId133" Type="http://schemas.openxmlformats.org/officeDocument/2006/relationships/customXml" Target="../ink/ink74.xml"/><Relationship Id="rId16" Type="http://schemas.openxmlformats.org/officeDocument/2006/relationships/image" Target="../media/image80.png"/></Relationships>
</file>

<file path=xl/drawings/_rels/drawing9.xml.rels><?xml version="1.0" encoding="UTF-8" standalone="yes"?>
<Relationships xmlns="http://schemas.openxmlformats.org/package/2006/relationships"><Relationship Id="rId1" Type="http://schemas.openxmlformats.org/officeDocument/2006/relationships/chart" Target="../charts/chart39.xml"/></Relationships>
</file>

<file path=xl/drawings/drawing1.xml><?xml version="1.0" encoding="utf-8"?>
<xdr:wsDr xmlns:xdr="http://schemas.openxmlformats.org/drawingml/2006/spreadsheetDrawing" xmlns:a="http://schemas.openxmlformats.org/drawingml/2006/main">
  <xdr:twoCellAnchor>
    <xdr:from>
      <xdr:col>4</xdr:col>
      <xdr:colOff>185737</xdr:colOff>
      <xdr:row>6</xdr:row>
      <xdr:rowOff>42862</xdr:rowOff>
    </xdr:from>
    <xdr:to>
      <xdr:col>11</xdr:col>
      <xdr:colOff>490537</xdr:colOff>
      <xdr:row>20</xdr:row>
      <xdr:rowOff>119062</xdr:rowOff>
    </xdr:to>
    <xdr:graphicFrame macro="">
      <xdr:nvGraphicFramePr>
        <xdr:cNvPr id="5" name="Chart 4">
          <a:extLst>
            <a:ext uri="{FF2B5EF4-FFF2-40B4-BE49-F238E27FC236}">
              <a16:creationId xmlns:a16="http://schemas.microsoft.com/office/drawing/2014/main" id="{4DE3F728-7934-01AF-2CCA-8D7C35B268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19050</xdr:colOff>
      <xdr:row>30</xdr:row>
      <xdr:rowOff>9525</xdr:rowOff>
    </xdr:from>
    <xdr:to>
      <xdr:col>11</xdr:col>
      <xdr:colOff>552449</xdr:colOff>
      <xdr:row>34</xdr:row>
      <xdr:rowOff>19050</xdr:rowOff>
    </xdr:to>
    <xdr:graphicFrame macro="">
      <xdr:nvGraphicFramePr>
        <xdr:cNvPr id="2" name="Chart 1">
          <a:extLst>
            <a:ext uri="{FF2B5EF4-FFF2-40B4-BE49-F238E27FC236}">
              <a16:creationId xmlns:a16="http://schemas.microsoft.com/office/drawing/2014/main" id="{A65F7D23-4883-4A14-B461-1FF1A4C146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590551</xdr:colOff>
      <xdr:row>30</xdr:row>
      <xdr:rowOff>9523</xdr:rowOff>
    </xdr:from>
    <xdr:to>
      <xdr:col>18</xdr:col>
      <xdr:colOff>504825</xdr:colOff>
      <xdr:row>34</xdr:row>
      <xdr:rowOff>19051</xdr:rowOff>
    </xdr:to>
    <xdr:graphicFrame macro="">
      <xdr:nvGraphicFramePr>
        <xdr:cNvPr id="3" name="Chart 2">
          <a:extLst>
            <a:ext uri="{FF2B5EF4-FFF2-40B4-BE49-F238E27FC236}">
              <a16:creationId xmlns:a16="http://schemas.microsoft.com/office/drawing/2014/main" id="{729403A5-BFBB-41C1-A240-BE9310EEE9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590550</xdr:colOff>
      <xdr:row>30</xdr:row>
      <xdr:rowOff>9525</xdr:rowOff>
    </xdr:from>
    <xdr:to>
      <xdr:col>21</xdr:col>
      <xdr:colOff>590550</xdr:colOff>
      <xdr:row>34</xdr:row>
      <xdr:rowOff>19050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4596E89A-7768-F9C9-9362-C1DFE9058CC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782800" y="7496175"/>
              <a:ext cx="1828800" cy="2314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9</xdr:row>
      <xdr:rowOff>190499</xdr:rowOff>
    </xdr:from>
    <xdr:to>
      <xdr:col>12</xdr:col>
      <xdr:colOff>304800</xdr:colOff>
      <xdr:row>15</xdr:row>
      <xdr:rowOff>685799</xdr:rowOff>
    </xdr:to>
    <xdr:graphicFrame macro="">
      <xdr:nvGraphicFramePr>
        <xdr:cNvPr id="4" name="Chart 3">
          <a:extLst>
            <a:ext uri="{FF2B5EF4-FFF2-40B4-BE49-F238E27FC236}">
              <a16:creationId xmlns:a16="http://schemas.microsoft.com/office/drawing/2014/main" id="{11E7FD80-4171-4DC8-B619-EDF54CF156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3</xdr:row>
      <xdr:rowOff>1</xdr:rowOff>
    </xdr:from>
    <xdr:to>
      <xdr:col>12</xdr:col>
      <xdr:colOff>304800</xdr:colOff>
      <xdr:row>8</xdr:row>
      <xdr:rowOff>447676</xdr:rowOff>
    </xdr:to>
    <xdr:graphicFrame macro="">
      <xdr:nvGraphicFramePr>
        <xdr:cNvPr id="5" name="Chart 4">
          <a:extLst>
            <a:ext uri="{FF2B5EF4-FFF2-40B4-BE49-F238E27FC236}">
              <a16:creationId xmlns:a16="http://schemas.microsoft.com/office/drawing/2014/main" id="{2A061EA4-8EAD-4B04-9E20-658A7086E1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16</xdr:row>
      <xdr:rowOff>190499</xdr:rowOff>
    </xdr:from>
    <xdr:to>
      <xdr:col>12</xdr:col>
      <xdr:colOff>304800</xdr:colOff>
      <xdr:row>22</xdr:row>
      <xdr:rowOff>200025</xdr:rowOff>
    </xdr:to>
    <xdr:graphicFrame macro="">
      <xdr:nvGraphicFramePr>
        <xdr:cNvPr id="6" name="Chart 5">
          <a:extLst>
            <a:ext uri="{FF2B5EF4-FFF2-40B4-BE49-F238E27FC236}">
              <a16:creationId xmlns:a16="http://schemas.microsoft.com/office/drawing/2014/main" id="{974E828E-3354-4B42-956F-F08F724332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24</xdr:row>
      <xdr:rowOff>0</xdr:rowOff>
    </xdr:from>
    <xdr:to>
      <xdr:col>12</xdr:col>
      <xdr:colOff>304800</xdr:colOff>
      <xdr:row>29</xdr:row>
      <xdr:rowOff>704850</xdr:rowOff>
    </xdr:to>
    <xdr:graphicFrame macro="">
      <xdr:nvGraphicFramePr>
        <xdr:cNvPr id="7" name="Chart 6">
          <a:extLst>
            <a:ext uri="{FF2B5EF4-FFF2-40B4-BE49-F238E27FC236}">
              <a16:creationId xmlns:a16="http://schemas.microsoft.com/office/drawing/2014/main" id="{04236D67-3B82-45AE-87C1-8597608C8F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0</xdr:colOff>
      <xdr:row>31</xdr:row>
      <xdr:rowOff>0</xdr:rowOff>
    </xdr:from>
    <xdr:to>
      <xdr:col>12</xdr:col>
      <xdr:colOff>342900</xdr:colOff>
      <xdr:row>36</xdr:row>
      <xdr:rowOff>695325</xdr:rowOff>
    </xdr:to>
    <xdr:graphicFrame macro="">
      <xdr:nvGraphicFramePr>
        <xdr:cNvPr id="8" name="Chart 7">
          <a:extLst>
            <a:ext uri="{FF2B5EF4-FFF2-40B4-BE49-F238E27FC236}">
              <a16:creationId xmlns:a16="http://schemas.microsoft.com/office/drawing/2014/main" id="{7CE40EAB-6B40-423E-8502-000F3D06D8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28575</xdr:colOff>
      <xdr:row>37</xdr:row>
      <xdr:rowOff>180975</xdr:rowOff>
    </xdr:from>
    <xdr:to>
      <xdr:col>12</xdr:col>
      <xdr:colOff>333375</xdr:colOff>
      <xdr:row>44</xdr:row>
      <xdr:rowOff>0</xdr:rowOff>
    </xdr:to>
    <xdr:graphicFrame macro="">
      <xdr:nvGraphicFramePr>
        <xdr:cNvPr id="9" name="Chart 8">
          <a:extLst>
            <a:ext uri="{FF2B5EF4-FFF2-40B4-BE49-F238E27FC236}">
              <a16:creationId xmlns:a16="http://schemas.microsoft.com/office/drawing/2014/main" id="{2243D5F0-81FA-49B8-B8A0-B490A9BCC2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9525</xdr:colOff>
      <xdr:row>45</xdr:row>
      <xdr:rowOff>0</xdr:rowOff>
    </xdr:from>
    <xdr:to>
      <xdr:col>12</xdr:col>
      <xdr:colOff>371475</xdr:colOff>
      <xdr:row>50</xdr:row>
      <xdr:rowOff>638175</xdr:rowOff>
    </xdr:to>
    <xdr:graphicFrame macro="">
      <xdr:nvGraphicFramePr>
        <xdr:cNvPr id="10" name="Chart 9">
          <a:extLst>
            <a:ext uri="{FF2B5EF4-FFF2-40B4-BE49-F238E27FC236}">
              <a16:creationId xmlns:a16="http://schemas.microsoft.com/office/drawing/2014/main" id="{4F6A7B1A-EB46-43C7-9E90-9405FDB732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419100</xdr:colOff>
      <xdr:row>45</xdr:row>
      <xdr:rowOff>9524</xdr:rowOff>
    </xdr:from>
    <xdr:to>
      <xdr:col>20</xdr:col>
      <xdr:colOff>114300</xdr:colOff>
      <xdr:row>50</xdr:row>
      <xdr:rowOff>638174</xdr:rowOff>
    </xdr:to>
    <xdr:graphicFrame macro="">
      <xdr:nvGraphicFramePr>
        <xdr:cNvPr id="2" name="Chart 1">
          <a:extLst>
            <a:ext uri="{FF2B5EF4-FFF2-40B4-BE49-F238E27FC236}">
              <a16:creationId xmlns:a16="http://schemas.microsoft.com/office/drawing/2014/main" id="{8F7D33C5-F7CD-4B7D-BBD6-30CD188426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0</xdr:colOff>
      <xdr:row>52</xdr:row>
      <xdr:rowOff>0</xdr:rowOff>
    </xdr:from>
    <xdr:to>
      <xdr:col>12</xdr:col>
      <xdr:colOff>304800</xdr:colOff>
      <xdr:row>57</xdr:row>
      <xdr:rowOff>600075</xdr:rowOff>
    </xdr:to>
    <xdr:graphicFrame macro="">
      <xdr:nvGraphicFramePr>
        <xdr:cNvPr id="3" name="Chart 2">
          <a:extLst>
            <a:ext uri="{FF2B5EF4-FFF2-40B4-BE49-F238E27FC236}">
              <a16:creationId xmlns:a16="http://schemas.microsoft.com/office/drawing/2014/main" id="{E24E947C-DBD3-4395-B766-0F5FDD62A5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12</xdr:col>
      <xdr:colOff>314325</xdr:colOff>
      <xdr:row>17</xdr:row>
      <xdr:rowOff>0</xdr:rowOff>
    </xdr:from>
    <xdr:to>
      <xdr:col>15</xdr:col>
      <xdr:colOff>314325</xdr:colOff>
      <xdr:row>23</xdr:row>
      <xdr:rowOff>180975</xdr:rowOff>
    </xdr:to>
    <mc:AlternateContent xmlns:mc="http://schemas.openxmlformats.org/markup-compatibility/2006" xmlns:a14="http://schemas.microsoft.com/office/drawing/2010/main">
      <mc:Choice Requires="a14">
        <xdr:graphicFrame macro="">
          <xdr:nvGraphicFramePr>
            <xdr:cNvPr id="15" name="Month 1">
              <a:extLst>
                <a:ext uri="{FF2B5EF4-FFF2-40B4-BE49-F238E27FC236}">
                  <a16:creationId xmlns:a16="http://schemas.microsoft.com/office/drawing/2014/main" id="{501377E6-2069-45E4-9F98-6994D4D18D5F}"/>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1649075" y="65817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323850</xdr:colOff>
      <xdr:row>17</xdr:row>
      <xdr:rowOff>0</xdr:rowOff>
    </xdr:from>
    <xdr:to>
      <xdr:col>18</xdr:col>
      <xdr:colOff>323850</xdr:colOff>
      <xdr:row>23</xdr:row>
      <xdr:rowOff>180975</xdr:rowOff>
    </xdr:to>
    <mc:AlternateContent xmlns:mc="http://schemas.openxmlformats.org/markup-compatibility/2006" xmlns:a14="http://schemas.microsoft.com/office/drawing/2010/main">
      <mc:Choice Requires="a14">
        <xdr:graphicFrame macro="">
          <xdr:nvGraphicFramePr>
            <xdr:cNvPr id="16" name="Sales Rep">
              <a:extLst>
                <a:ext uri="{FF2B5EF4-FFF2-40B4-BE49-F238E27FC236}">
                  <a16:creationId xmlns:a16="http://schemas.microsoft.com/office/drawing/2014/main" id="{D48F8760-84CD-2BB7-1FB5-6F435C1AD8FB}"/>
                </a:ext>
              </a:extLst>
            </xdr:cNvPr>
            <xdr:cNvGraphicFramePr/>
          </xdr:nvGraphicFramePr>
          <xdr:xfrm>
            <a:off x="0" y="0"/>
            <a:ext cx="0" cy="0"/>
          </xdr:xfrm>
          <a:graphic>
            <a:graphicData uri="http://schemas.microsoft.com/office/drawing/2010/slicer">
              <sle:slicer xmlns:sle="http://schemas.microsoft.com/office/drawing/2010/slicer" name="Sales Rep"/>
            </a:graphicData>
          </a:graphic>
        </xdr:graphicFrame>
      </mc:Choice>
      <mc:Fallback xmlns="">
        <xdr:sp macro="" textlink="">
          <xdr:nvSpPr>
            <xdr:cNvPr id="0" name=""/>
            <xdr:cNvSpPr>
              <a:spLocks noTextEdit="1"/>
            </xdr:cNvSpPr>
          </xdr:nvSpPr>
          <xdr:spPr>
            <a:xfrm>
              <a:off x="13487400" y="65817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447675</xdr:colOff>
      <xdr:row>11</xdr:row>
      <xdr:rowOff>190500</xdr:rowOff>
    </xdr:from>
    <xdr:to>
      <xdr:col>11</xdr:col>
      <xdr:colOff>161925</xdr:colOff>
      <xdr:row>16</xdr:row>
      <xdr:rowOff>95251</xdr:rowOff>
    </xdr:to>
    <xdr:graphicFrame macro="">
      <xdr:nvGraphicFramePr>
        <xdr:cNvPr id="11" name="Chart 10">
          <a:extLst>
            <a:ext uri="{FF2B5EF4-FFF2-40B4-BE49-F238E27FC236}">
              <a16:creationId xmlns:a16="http://schemas.microsoft.com/office/drawing/2014/main" id="{5E02F548-4030-4562-BA2C-C81C9A992C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314325</xdr:colOff>
      <xdr:row>0</xdr:row>
      <xdr:rowOff>0</xdr:rowOff>
    </xdr:from>
    <xdr:to>
      <xdr:col>15</xdr:col>
      <xdr:colOff>9525</xdr:colOff>
      <xdr:row>14</xdr:row>
      <xdr:rowOff>76200</xdr:rowOff>
    </xdr:to>
    <xdr:graphicFrame macro="">
      <xdr:nvGraphicFramePr>
        <xdr:cNvPr id="4" name="Chart 3">
          <a:extLst>
            <a:ext uri="{FF2B5EF4-FFF2-40B4-BE49-F238E27FC236}">
              <a16:creationId xmlns:a16="http://schemas.microsoft.com/office/drawing/2014/main" id="{798A1ABB-C73B-4989-8DC9-FC1F45D6F1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7</xdr:col>
      <xdr:colOff>304800</xdr:colOff>
      <xdr:row>14</xdr:row>
      <xdr:rowOff>76200</xdr:rowOff>
    </xdr:to>
    <xdr:graphicFrame macro="">
      <xdr:nvGraphicFramePr>
        <xdr:cNvPr id="5" name="Chart 4">
          <a:extLst>
            <a:ext uri="{FF2B5EF4-FFF2-40B4-BE49-F238E27FC236}">
              <a16:creationId xmlns:a16="http://schemas.microsoft.com/office/drawing/2014/main" id="{B50EDE82-2C9D-4BCF-BB3A-0E4604AD92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14</xdr:row>
      <xdr:rowOff>85725</xdr:rowOff>
    </xdr:from>
    <xdr:to>
      <xdr:col>7</xdr:col>
      <xdr:colOff>304800</xdr:colOff>
      <xdr:row>28</xdr:row>
      <xdr:rowOff>161925</xdr:rowOff>
    </xdr:to>
    <xdr:graphicFrame macro="">
      <xdr:nvGraphicFramePr>
        <xdr:cNvPr id="6" name="Chart 5">
          <a:extLst>
            <a:ext uri="{FF2B5EF4-FFF2-40B4-BE49-F238E27FC236}">
              <a16:creationId xmlns:a16="http://schemas.microsoft.com/office/drawing/2014/main" id="{DA3DDEC6-D1D8-4CD3-BC48-74913043A1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323850</xdr:colOff>
      <xdr:row>14</xdr:row>
      <xdr:rowOff>85725</xdr:rowOff>
    </xdr:from>
    <xdr:to>
      <xdr:col>15</xdr:col>
      <xdr:colOff>19050</xdr:colOff>
      <xdr:row>28</xdr:row>
      <xdr:rowOff>161925</xdr:rowOff>
    </xdr:to>
    <xdr:graphicFrame macro="">
      <xdr:nvGraphicFramePr>
        <xdr:cNvPr id="7" name="Chart 6">
          <a:extLst>
            <a:ext uri="{FF2B5EF4-FFF2-40B4-BE49-F238E27FC236}">
              <a16:creationId xmlns:a16="http://schemas.microsoft.com/office/drawing/2014/main" id="{65EEEDB2-28EE-4269-B38C-1267F1739F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0</xdr:colOff>
      <xdr:row>0</xdr:row>
      <xdr:rowOff>0</xdr:rowOff>
    </xdr:from>
    <xdr:to>
      <xdr:col>22</xdr:col>
      <xdr:colOff>374277</xdr:colOff>
      <xdr:row>14</xdr:row>
      <xdr:rowOff>76200</xdr:rowOff>
    </xdr:to>
    <xdr:graphicFrame macro="">
      <xdr:nvGraphicFramePr>
        <xdr:cNvPr id="9" name="Chart 8">
          <a:extLst>
            <a:ext uri="{FF2B5EF4-FFF2-40B4-BE49-F238E27FC236}">
              <a16:creationId xmlns:a16="http://schemas.microsoft.com/office/drawing/2014/main" id="{F157A228-D600-4025-A259-8EF4FD0958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11206</xdr:colOff>
      <xdr:row>14</xdr:row>
      <xdr:rowOff>89647</xdr:rowOff>
    </xdr:from>
    <xdr:to>
      <xdr:col>22</xdr:col>
      <xdr:colOff>347383</xdr:colOff>
      <xdr:row>28</xdr:row>
      <xdr:rowOff>165847</xdr:rowOff>
    </xdr:to>
    <xdr:graphicFrame macro="">
      <xdr:nvGraphicFramePr>
        <xdr:cNvPr id="10" name="Chart 9">
          <a:extLst>
            <a:ext uri="{FF2B5EF4-FFF2-40B4-BE49-F238E27FC236}">
              <a16:creationId xmlns:a16="http://schemas.microsoft.com/office/drawing/2014/main" id="{C5FF4ABA-417F-4FD9-B7E8-E16A27D200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23430</xdr:colOff>
      <xdr:row>28</xdr:row>
      <xdr:rowOff>168088</xdr:rowOff>
    </xdr:from>
    <xdr:to>
      <xdr:col>7</xdr:col>
      <xdr:colOff>309180</xdr:colOff>
      <xdr:row>43</xdr:row>
      <xdr:rowOff>53788</xdr:rowOff>
    </xdr:to>
    <xdr:graphicFrame macro="">
      <xdr:nvGraphicFramePr>
        <xdr:cNvPr id="11" name="Chart 10">
          <a:extLst>
            <a:ext uri="{FF2B5EF4-FFF2-40B4-BE49-F238E27FC236}">
              <a16:creationId xmlns:a16="http://schemas.microsoft.com/office/drawing/2014/main" id="{CEBEA482-519F-46C3-B778-BA7F5E76DC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340179</xdr:colOff>
      <xdr:row>28</xdr:row>
      <xdr:rowOff>176893</xdr:rowOff>
    </xdr:from>
    <xdr:to>
      <xdr:col>15</xdr:col>
      <xdr:colOff>13608</xdr:colOff>
      <xdr:row>43</xdr:row>
      <xdr:rowOff>62593</xdr:rowOff>
    </xdr:to>
    <xdr:graphicFrame macro="">
      <xdr:nvGraphicFramePr>
        <xdr:cNvPr id="2" name="Chart 1">
          <a:extLst>
            <a:ext uri="{FF2B5EF4-FFF2-40B4-BE49-F238E27FC236}">
              <a16:creationId xmlns:a16="http://schemas.microsoft.com/office/drawing/2014/main" id="{1C9C1687-F1D7-4128-B6E5-52B3F5395D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40821</xdr:colOff>
      <xdr:row>29</xdr:row>
      <xdr:rowOff>13607</xdr:rowOff>
    </xdr:from>
    <xdr:to>
      <xdr:col>22</xdr:col>
      <xdr:colOff>326571</xdr:colOff>
      <xdr:row>43</xdr:row>
      <xdr:rowOff>89807</xdr:rowOff>
    </xdr:to>
    <xdr:graphicFrame macro="">
      <xdr:nvGraphicFramePr>
        <xdr:cNvPr id="3" name="Chart 2">
          <a:extLst>
            <a:ext uri="{FF2B5EF4-FFF2-40B4-BE49-F238E27FC236}">
              <a16:creationId xmlns:a16="http://schemas.microsoft.com/office/drawing/2014/main" id="{3C45E58B-EE46-483D-9C06-59C20EC022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40821</xdr:colOff>
      <xdr:row>43</xdr:row>
      <xdr:rowOff>68035</xdr:rowOff>
    </xdr:from>
    <xdr:to>
      <xdr:col>7</xdr:col>
      <xdr:colOff>326571</xdr:colOff>
      <xdr:row>57</xdr:row>
      <xdr:rowOff>144235</xdr:rowOff>
    </xdr:to>
    <xdr:graphicFrame macro="">
      <xdr:nvGraphicFramePr>
        <xdr:cNvPr id="12" name="Chart 11">
          <a:extLst>
            <a:ext uri="{FF2B5EF4-FFF2-40B4-BE49-F238E27FC236}">
              <a16:creationId xmlns:a16="http://schemas.microsoft.com/office/drawing/2014/main" id="{FD6200CF-8375-49B3-8E1D-EC08BC413E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9</xdr:row>
      <xdr:rowOff>0</xdr:rowOff>
    </xdr:from>
    <xdr:to>
      <xdr:col>6</xdr:col>
      <xdr:colOff>76200</xdr:colOff>
      <xdr:row>23</xdr:row>
      <xdr:rowOff>76200</xdr:rowOff>
    </xdr:to>
    <xdr:graphicFrame macro="">
      <xdr:nvGraphicFramePr>
        <xdr:cNvPr id="2" name="Chart 1">
          <a:extLst>
            <a:ext uri="{FF2B5EF4-FFF2-40B4-BE49-F238E27FC236}">
              <a16:creationId xmlns:a16="http://schemas.microsoft.com/office/drawing/2014/main" id="{76C939E0-2189-4C05-AE79-DD6674D838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24</xdr:row>
      <xdr:rowOff>0</xdr:rowOff>
    </xdr:from>
    <xdr:to>
      <xdr:col>6</xdr:col>
      <xdr:colOff>78921</xdr:colOff>
      <xdr:row>38</xdr:row>
      <xdr:rowOff>76200</xdr:rowOff>
    </xdr:to>
    <xdr:graphicFrame macro="">
      <xdr:nvGraphicFramePr>
        <xdr:cNvPr id="3" name="Chart 2">
          <a:extLst>
            <a:ext uri="{FF2B5EF4-FFF2-40B4-BE49-F238E27FC236}">
              <a16:creationId xmlns:a16="http://schemas.microsoft.com/office/drawing/2014/main" id="{7514F853-B094-41AA-A5BA-419F454CC2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190500</xdr:colOff>
      <xdr:row>24</xdr:row>
      <xdr:rowOff>0</xdr:rowOff>
    </xdr:from>
    <xdr:to>
      <xdr:col>12</xdr:col>
      <xdr:colOff>269421</xdr:colOff>
      <xdr:row>38</xdr:row>
      <xdr:rowOff>76200</xdr:rowOff>
    </xdr:to>
    <xdr:graphicFrame macro="">
      <xdr:nvGraphicFramePr>
        <xdr:cNvPr id="4" name="Chart 3">
          <a:extLst>
            <a:ext uri="{FF2B5EF4-FFF2-40B4-BE49-F238E27FC236}">
              <a16:creationId xmlns:a16="http://schemas.microsoft.com/office/drawing/2014/main" id="{2AC569C8-3137-4925-974B-C3CD957135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38</xdr:row>
      <xdr:rowOff>128587</xdr:rowOff>
    </xdr:from>
    <xdr:to>
      <xdr:col>6</xdr:col>
      <xdr:colOff>57150</xdr:colOff>
      <xdr:row>53</xdr:row>
      <xdr:rowOff>14287</xdr:rowOff>
    </xdr:to>
    <xdr:graphicFrame macro="">
      <xdr:nvGraphicFramePr>
        <xdr:cNvPr id="8" name="Chart 7">
          <a:extLst>
            <a:ext uri="{FF2B5EF4-FFF2-40B4-BE49-F238E27FC236}">
              <a16:creationId xmlns:a16="http://schemas.microsoft.com/office/drawing/2014/main" id="{8D587882-A945-8B8C-8B47-D6D419F166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54</xdr:row>
      <xdr:rowOff>0</xdr:rowOff>
    </xdr:from>
    <xdr:to>
      <xdr:col>5</xdr:col>
      <xdr:colOff>666750</xdr:colOff>
      <xdr:row>68</xdr:row>
      <xdr:rowOff>76200</xdr:rowOff>
    </xdr:to>
    <xdr:graphicFrame macro="">
      <xdr:nvGraphicFramePr>
        <xdr:cNvPr id="5" name="Chart 4">
          <a:extLst>
            <a:ext uri="{FF2B5EF4-FFF2-40B4-BE49-F238E27FC236}">
              <a16:creationId xmlns:a16="http://schemas.microsoft.com/office/drawing/2014/main" id="{9174C85C-BE24-4A54-A22D-ED5EC84D6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838200</xdr:colOff>
      <xdr:row>22</xdr:row>
      <xdr:rowOff>171450</xdr:rowOff>
    </xdr:from>
    <xdr:to>
      <xdr:col>7</xdr:col>
      <xdr:colOff>866775</xdr:colOff>
      <xdr:row>36</xdr:row>
      <xdr:rowOff>28575</xdr:rowOff>
    </xdr:to>
    <mc:AlternateContent xmlns:mc="http://schemas.openxmlformats.org/markup-compatibility/2006" xmlns:a14="http://schemas.microsoft.com/office/drawing/2010/main">
      <mc:Choice Requires="a14">
        <xdr:graphicFrame macro="">
          <xdr:nvGraphicFramePr>
            <xdr:cNvPr id="14" name="Month 3">
              <a:extLst>
                <a:ext uri="{FF2B5EF4-FFF2-40B4-BE49-F238E27FC236}">
                  <a16:creationId xmlns:a16="http://schemas.microsoft.com/office/drawing/2014/main" id="{559006B5-D16B-4353-9D2A-ACDC52DD6FCE}"/>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4743450" y="4362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600075</xdr:colOff>
      <xdr:row>24</xdr:row>
      <xdr:rowOff>161925</xdr:rowOff>
    </xdr:from>
    <xdr:to>
      <xdr:col>5</xdr:col>
      <xdr:colOff>600075</xdr:colOff>
      <xdr:row>38</xdr:row>
      <xdr:rowOff>19050</xdr:rowOff>
    </xdr:to>
    <mc:AlternateContent xmlns:mc="http://schemas.openxmlformats.org/markup-compatibility/2006" xmlns:a14="http://schemas.microsoft.com/office/drawing/2010/main">
      <mc:Choice Requires="a14">
        <xdr:graphicFrame macro="">
          <xdr:nvGraphicFramePr>
            <xdr:cNvPr id="15" name="Region 2">
              <a:extLst>
                <a:ext uri="{FF2B5EF4-FFF2-40B4-BE49-F238E27FC236}">
                  <a16:creationId xmlns:a16="http://schemas.microsoft.com/office/drawing/2014/main" id="{40D91BAB-CE27-4CF6-A6B7-18D6EAAA9FAE}"/>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2676525" y="47339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952500</xdr:colOff>
      <xdr:row>16</xdr:row>
      <xdr:rowOff>1</xdr:rowOff>
    </xdr:from>
    <xdr:to>
      <xdr:col>10</xdr:col>
      <xdr:colOff>342900</xdr:colOff>
      <xdr:row>25</xdr:row>
      <xdr:rowOff>19051</xdr:rowOff>
    </xdr:to>
    <mc:AlternateContent xmlns:mc="http://schemas.openxmlformats.org/markup-compatibility/2006" xmlns:a14="http://schemas.microsoft.com/office/drawing/2010/main">
      <mc:Choice Requires="a14">
        <xdr:graphicFrame macro="">
          <xdr:nvGraphicFramePr>
            <xdr:cNvPr id="16" name="Product Category 1">
              <a:extLst>
                <a:ext uri="{FF2B5EF4-FFF2-40B4-BE49-F238E27FC236}">
                  <a16:creationId xmlns:a16="http://schemas.microsoft.com/office/drawing/2014/main" id="{0C58F445-8254-4F2D-A21A-E8ADFA7878F1}"/>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6657975" y="3048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9525</xdr:colOff>
      <xdr:row>2</xdr:row>
      <xdr:rowOff>57149</xdr:rowOff>
    </xdr:from>
    <xdr:to>
      <xdr:col>1</xdr:col>
      <xdr:colOff>9525</xdr:colOff>
      <xdr:row>6</xdr:row>
      <xdr:rowOff>152400</xdr:rowOff>
    </xdr:to>
    <xdr:graphicFrame macro="">
      <xdr:nvGraphicFramePr>
        <xdr:cNvPr id="17" name="Chart 16">
          <a:extLst>
            <a:ext uri="{FF2B5EF4-FFF2-40B4-BE49-F238E27FC236}">
              <a16:creationId xmlns:a16="http://schemas.microsoft.com/office/drawing/2014/main" id="{8DBFB324-D963-B97D-8B94-AC9415C380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0</xdr:colOff>
      <xdr:row>48</xdr:row>
      <xdr:rowOff>0</xdr:rowOff>
    </xdr:from>
    <xdr:to>
      <xdr:col>12</xdr:col>
      <xdr:colOff>193302</xdr:colOff>
      <xdr:row>62</xdr:row>
      <xdr:rowOff>76200</xdr:rowOff>
    </xdr:to>
    <xdr:graphicFrame macro="">
      <xdr:nvGraphicFramePr>
        <xdr:cNvPr id="18" name="Chart 17">
          <a:extLst>
            <a:ext uri="{FF2B5EF4-FFF2-40B4-BE49-F238E27FC236}">
              <a16:creationId xmlns:a16="http://schemas.microsoft.com/office/drawing/2014/main" id="{21D0358C-7A3D-42BF-AF8C-3DE3403EBD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28574</xdr:rowOff>
    </xdr:from>
    <xdr:to>
      <xdr:col>3</xdr:col>
      <xdr:colOff>180975</xdr:colOff>
      <xdr:row>6</xdr:row>
      <xdr:rowOff>295274</xdr:rowOff>
    </xdr:to>
    <mc:AlternateContent xmlns:mc="http://schemas.openxmlformats.org/markup-compatibility/2006" xmlns:a14="http://schemas.microsoft.com/office/drawing/2010/main">
      <mc:Choice Requires="a14">
        <xdr:graphicFrame macro="">
          <xdr:nvGraphicFramePr>
            <xdr:cNvPr id="3" name="Month 4">
              <a:extLst>
                <a:ext uri="{FF2B5EF4-FFF2-40B4-BE49-F238E27FC236}">
                  <a16:creationId xmlns:a16="http://schemas.microsoft.com/office/drawing/2014/main" id="{B912A0A5-C6D3-48FC-85CA-9F7110D3F9D5}"/>
                </a:ext>
              </a:extLst>
            </xdr:cNvPr>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mlns="">
        <xdr:sp macro="" textlink="">
          <xdr:nvSpPr>
            <xdr:cNvPr id="0" name=""/>
            <xdr:cNvSpPr>
              <a:spLocks noTextEdit="1"/>
            </xdr:cNvSpPr>
          </xdr:nvSpPr>
          <xdr:spPr>
            <a:xfrm>
              <a:off x="0" y="28574"/>
              <a:ext cx="24384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9524</xdr:colOff>
      <xdr:row>5</xdr:row>
      <xdr:rowOff>419099</xdr:rowOff>
    </xdr:from>
    <xdr:to>
      <xdr:col>3</xdr:col>
      <xdr:colOff>180975</xdr:colOff>
      <xdr:row>14</xdr:row>
      <xdr:rowOff>85725</xdr:rowOff>
    </xdr:to>
    <mc:AlternateContent xmlns:mc="http://schemas.openxmlformats.org/markup-compatibility/2006" xmlns:a14="http://schemas.microsoft.com/office/drawing/2010/main">
      <mc:Choice Requires="a14">
        <xdr:graphicFrame macro="">
          <xdr:nvGraphicFramePr>
            <xdr:cNvPr id="4" name="Region 3">
              <a:extLst>
                <a:ext uri="{FF2B5EF4-FFF2-40B4-BE49-F238E27FC236}">
                  <a16:creationId xmlns:a16="http://schemas.microsoft.com/office/drawing/2014/main" id="{79D98D11-E467-426D-B89D-C0C16EB0653F}"/>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9525" y="2314574"/>
              <a:ext cx="2428874" cy="23717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28574</xdr:colOff>
      <xdr:row>12</xdr:row>
      <xdr:rowOff>142875</xdr:rowOff>
    </xdr:from>
    <xdr:to>
      <xdr:col>3</xdr:col>
      <xdr:colOff>180975</xdr:colOff>
      <xdr:row>21</xdr:row>
      <xdr:rowOff>66675</xdr:rowOff>
    </xdr:to>
    <mc:AlternateContent xmlns:mc="http://schemas.openxmlformats.org/markup-compatibility/2006" xmlns:a14="http://schemas.microsoft.com/office/drawing/2010/main">
      <mc:Choice Requires="a14">
        <xdr:graphicFrame macro="">
          <xdr:nvGraphicFramePr>
            <xdr:cNvPr id="5" name="Product Category 2">
              <a:extLst>
                <a:ext uri="{FF2B5EF4-FFF2-40B4-BE49-F238E27FC236}">
                  <a16:creationId xmlns:a16="http://schemas.microsoft.com/office/drawing/2014/main" id="{007CC9C7-DD41-4D8D-9DE6-DFEF70ECCFFE}"/>
                </a:ext>
              </a:extLst>
            </xdr:cNvPr>
            <xdr:cNvGraphicFramePr/>
          </xdr:nvGraphicFramePr>
          <xdr:xfrm>
            <a:off x="0" y="0"/>
            <a:ext cx="0" cy="0"/>
          </xdr:xfrm>
          <a:graphic>
            <a:graphicData uri="http://schemas.microsoft.com/office/drawing/2010/slicer">
              <sle:slicer xmlns:sle="http://schemas.microsoft.com/office/drawing/2010/slicer" name="Product Category 2"/>
            </a:graphicData>
          </a:graphic>
        </xdr:graphicFrame>
      </mc:Choice>
      <mc:Fallback xmlns="">
        <xdr:sp macro="" textlink="">
          <xdr:nvSpPr>
            <xdr:cNvPr id="0" name=""/>
            <xdr:cNvSpPr>
              <a:spLocks noTextEdit="1"/>
            </xdr:cNvSpPr>
          </xdr:nvSpPr>
          <xdr:spPr>
            <a:xfrm>
              <a:off x="28574" y="4076700"/>
              <a:ext cx="1981201" cy="2486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1162050</xdr:colOff>
      <xdr:row>0</xdr:row>
      <xdr:rowOff>95250</xdr:rowOff>
    </xdr:from>
    <xdr:to>
      <xdr:col>22</xdr:col>
      <xdr:colOff>123825</xdr:colOff>
      <xdr:row>3</xdr:row>
      <xdr:rowOff>28575</xdr:rowOff>
    </xdr:to>
    <xdr:graphicFrame macro="">
      <xdr:nvGraphicFramePr>
        <xdr:cNvPr id="2" name="Chart 1">
          <a:extLst>
            <a:ext uri="{FF2B5EF4-FFF2-40B4-BE49-F238E27FC236}">
              <a16:creationId xmlns:a16="http://schemas.microsoft.com/office/drawing/2014/main" id="{C23C47D9-C916-4BE5-B08C-ECC0FB1518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21</xdr:col>
      <xdr:colOff>0</xdr:colOff>
      <xdr:row>14</xdr:row>
      <xdr:rowOff>142755</xdr:rowOff>
    </xdr:from>
    <xdr:to>
      <xdr:col>21</xdr:col>
      <xdr:colOff>360</xdr:colOff>
      <xdr:row>14</xdr:row>
      <xdr:rowOff>143115</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13" name="Ink 12">
              <a:extLst>
                <a:ext uri="{FF2B5EF4-FFF2-40B4-BE49-F238E27FC236}">
                  <a16:creationId xmlns:a16="http://schemas.microsoft.com/office/drawing/2014/main" id="{7864B41A-4F64-2728-C074-0D56E91B6094}"/>
                </a:ext>
              </a:extLst>
            </xdr14:cNvPr>
            <xdr14:cNvContentPartPr/>
          </xdr14:nvContentPartPr>
          <xdr14:nvPr macro=""/>
          <xdr14:xfrm>
            <a:off x="13887240" y="4038480"/>
            <a:ext cx="360" cy="360"/>
          </xdr14:xfrm>
        </xdr:contentPart>
      </mc:Choice>
      <mc:Fallback xmlns="">
        <xdr:pic>
          <xdr:nvPicPr>
            <xdr:cNvPr id="13" name="Ink 12">
              <a:extLst>
                <a:ext uri="{FF2B5EF4-FFF2-40B4-BE49-F238E27FC236}">
                  <a16:creationId xmlns:a16="http://schemas.microsoft.com/office/drawing/2014/main" id="{7864B41A-4F64-2728-C074-0D56E91B6094}"/>
                </a:ext>
              </a:extLst>
            </xdr:cNvPr>
            <xdr:cNvPicPr/>
          </xdr:nvPicPr>
          <xdr:blipFill>
            <a:blip xmlns:r="http://schemas.openxmlformats.org/officeDocument/2006/relationships" r:embed="rId4"/>
            <a:stretch>
              <a:fillRect/>
            </a:stretch>
          </xdr:blipFill>
          <xdr:spPr>
            <a:xfrm>
              <a:off x="13882920" y="4034160"/>
              <a:ext cx="9000" cy="9000"/>
            </a:xfrm>
            <a:prstGeom prst="rect">
              <a:avLst/>
            </a:prstGeom>
          </xdr:spPr>
        </xdr:pic>
      </mc:Fallback>
    </mc:AlternateContent>
    <xdr:clientData/>
  </xdr:twoCellAnchor>
  <xdr:twoCellAnchor>
    <xdr:from>
      <xdr:col>3</xdr:col>
      <xdr:colOff>239740</xdr:colOff>
      <xdr:row>6</xdr:row>
      <xdr:rowOff>261212</xdr:rowOff>
    </xdr:from>
    <xdr:to>
      <xdr:col>9</xdr:col>
      <xdr:colOff>504825</xdr:colOff>
      <xdr:row>14</xdr:row>
      <xdr:rowOff>247650</xdr:rowOff>
    </xdr:to>
    <xdr:graphicFrame macro="">
      <xdr:nvGraphicFramePr>
        <xdr:cNvPr id="36" name="Chart 35">
          <a:extLst>
            <a:ext uri="{FF2B5EF4-FFF2-40B4-BE49-F238E27FC236}">
              <a16:creationId xmlns:a16="http://schemas.microsoft.com/office/drawing/2014/main" id="{06C3FC4F-2605-442E-81FA-51F1ECB458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239741</xdr:colOff>
      <xdr:row>1</xdr:row>
      <xdr:rowOff>47625</xdr:rowOff>
    </xdr:from>
    <xdr:to>
      <xdr:col>9</xdr:col>
      <xdr:colOff>485775</xdr:colOff>
      <xdr:row>7</xdr:row>
      <xdr:rowOff>104775</xdr:rowOff>
    </xdr:to>
    <xdr:graphicFrame macro="">
      <xdr:nvGraphicFramePr>
        <xdr:cNvPr id="37" name="Chart 36">
          <a:extLst>
            <a:ext uri="{FF2B5EF4-FFF2-40B4-BE49-F238E27FC236}">
              <a16:creationId xmlns:a16="http://schemas.microsoft.com/office/drawing/2014/main" id="{1DD81FA4-B20F-4C90-AA89-4C55252B2C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555028</xdr:colOff>
      <xdr:row>1</xdr:row>
      <xdr:rowOff>60862</xdr:rowOff>
    </xdr:from>
    <xdr:to>
      <xdr:col>21</xdr:col>
      <xdr:colOff>381000</xdr:colOff>
      <xdr:row>7</xdr:row>
      <xdr:rowOff>85725</xdr:rowOff>
    </xdr:to>
    <xdr:graphicFrame macro="">
      <xdr:nvGraphicFramePr>
        <xdr:cNvPr id="38" name="Chart 37">
          <a:extLst>
            <a:ext uri="{FF2B5EF4-FFF2-40B4-BE49-F238E27FC236}">
              <a16:creationId xmlns:a16="http://schemas.microsoft.com/office/drawing/2014/main" id="{7DE0983C-9AB7-486E-B48A-46F9B61E1D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529687</xdr:colOff>
      <xdr:row>1</xdr:row>
      <xdr:rowOff>54889</xdr:rowOff>
    </xdr:from>
    <xdr:to>
      <xdr:col>16</xdr:col>
      <xdr:colOff>152400</xdr:colOff>
      <xdr:row>7</xdr:row>
      <xdr:rowOff>104775</xdr:rowOff>
    </xdr:to>
    <xdr:graphicFrame macro="">
      <xdr:nvGraphicFramePr>
        <xdr:cNvPr id="40" name="Chart 39">
          <a:extLst>
            <a:ext uri="{FF2B5EF4-FFF2-40B4-BE49-F238E27FC236}">
              <a16:creationId xmlns:a16="http://schemas.microsoft.com/office/drawing/2014/main" id="{66E09DC5-4B54-4F0B-B315-BF2371B342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21</xdr:col>
      <xdr:colOff>990330</xdr:colOff>
      <xdr:row>7</xdr:row>
      <xdr:rowOff>19020</xdr:rowOff>
    </xdr:from>
    <xdr:to>
      <xdr:col>21</xdr:col>
      <xdr:colOff>991050</xdr:colOff>
      <xdr:row>12</xdr:row>
      <xdr:rowOff>295500</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10" name="Ink 9">
              <a:extLst>
                <a:ext uri="{FF2B5EF4-FFF2-40B4-BE49-F238E27FC236}">
                  <a16:creationId xmlns:a16="http://schemas.microsoft.com/office/drawing/2014/main" id="{33FBDA4E-3574-F6A9-C051-20C59F94EC74}"/>
                </a:ext>
              </a:extLst>
            </xdr14:cNvPr>
            <xdr14:cNvContentPartPr/>
          </xdr14:nvContentPartPr>
          <xdr14:nvPr macro=""/>
          <xdr14:xfrm>
            <a:off x="13772880" y="2724120"/>
            <a:ext cx="720" cy="1648080"/>
          </xdr14:xfrm>
        </xdr:contentPart>
      </mc:Choice>
      <mc:Fallback xmlns="">
        <xdr:pic>
          <xdr:nvPicPr>
            <xdr:cNvPr id="10" name="Ink 9">
              <a:extLst>
                <a:ext uri="{FF2B5EF4-FFF2-40B4-BE49-F238E27FC236}">
                  <a16:creationId xmlns:a16="http://schemas.microsoft.com/office/drawing/2014/main" id="{33FBDA4E-3574-F6A9-C051-20C59F94EC74}"/>
                </a:ext>
              </a:extLst>
            </xdr:cNvPr>
            <xdr:cNvPicPr/>
          </xdr:nvPicPr>
          <xdr:blipFill>
            <a:blip xmlns:r="http://schemas.openxmlformats.org/officeDocument/2006/relationships" r:embed="rId10"/>
            <a:stretch>
              <a:fillRect/>
            </a:stretch>
          </xdr:blipFill>
          <xdr:spPr>
            <a:xfrm>
              <a:off x="13763520" y="2719440"/>
              <a:ext cx="18000" cy="1656720"/>
            </a:xfrm>
            <a:prstGeom prst="rect">
              <a:avLst/>
            </a:prstGeom>
          </xdr:spPr>
        </xdr:pic>
      </mc:Fallback>
    </mc:AlternateContent>
    <xdr:clientData/>
  </xdr:twoCellAnchor>
  <xdr:twoCellAnchor editAs="oneCell">
    <xdr:from>
      <xdr:col>21</xdr:col>
      <xdr:colOff>961530</xdr:colOff>
      <xdr:row>13</xdr:row>
      <xdr:rowOff>295200</xdr:rowOff>
    </xdr:from>
    <xdr:to>
      <xdr:col>21</xdr:col>
      <xdr:colOff>962250</xdr:colOff>
      <xdr:row>21</xdr:row>
      <xdr:rowOff>10935</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12" name="Ink 11">
              <a:extLst>
                <a:ext uri="{FF2B5EF4-FFF2-40B4-BE49-F238E27FC236}">
                  <a16:creationId xmlns:a16="http://schemas.microsoft.com/office/drawing/2014/main" id="{F4B7A78B-C4C5-9302-888A-CC428ED81082}"/>
                </a:ext>
              </a:extLst>
            </xdr14:cNvPr>
            <xdr14:cNvContentPartPr/>
          </xdr14:nvContentPartPr>
          <xdr14:nvPr macro=""/>
          <xdr14:xfrm>
            <a:off x="13744080" y="4638600"/>
            <a:ext cx="720" cy="1973160"/>
          </xdr14:xfrm>
        </xdr:contentPart>
      </mc:Choice>
      <mc:Fallback xmlns="">
        <xdr:pic>
          <xdr:nvPicPr>
            <xdr:cNvPr id="12" name="Ink 11">
              <a:extLst>
                <a:ext uri="{FF2B5EF4-FFF2-40B4-BE49-F238E27FC236}">
                  <a16:creationId xmlns:a16="http://schemas.microsoft.com/office/drawing/2014/main" id="{F4B7A78B-C4C5-9302-888A-CC428ED81082}"/>
                </a:ext>
              </a:extLst>
            </xdr:cNvPr>
            <xdr:cNvPicPr/>
          </xdr:nvPicPr>
          <xdr:blipFill>
            <a:blip xmlns:r="http://schemas.openxmlformats.org/officeDocument/2006/relationships" r:embed="rId12"/>
            <a:stretch>
              <a:fillRect/>
            </a:stretch>
          </xdr:blipFill>
          <xdr:spPr>
            <a:xfrm>
              <a:off x="13734720" y="4633920"/>
              <a:ext cx="18000" cy="1981800"/>
            </a:xfrm>
            <a:prstGeom prst="rect">
              <a:avLst/>
            </a:prstGeom>
          </xdr:spPr>
        </xdr:pic>
      </mc:Fallback>
    </mc:AlternateContent>
    <xdr:clientData/>
  </xdr:twoCellAnchor>
  <xdr:twoCellAnchor editAs="oneCell">
    <xdr:from>
      <xdr:col>21</xdr:col>
      <xdr:colOff>990330</xdr:colOff>
      <xdr:row>12</xdr:row>
      <xdr:rowOff>247515</xdr:rowOff>
    </xdr:from>
    <xdr:to>
      <xdr:col>21</xdr:col>
      <xdr:colOff>990690</xdr:colOff>
      <xdr:row>13</xdr:row>
      <xdr:rowOff>315</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7" name="Ink 16">
              <a:extLst>
                <a:ext uri="{FF2B5EF4-FFF2-40B4-BE49-F238E27FC236}">
                  <a16:creationId xmlns:a16="http://schemas.microsoft.com/office/drawing/2014/main" id="{C5973515-C760-A2E4-A3E1-391776C4CE62}"/>
                </a:ext>
              </a:extLst>
            </xdr14:cNvPr>
            <xdr14:cNvContentPartPr/>
          </xdr14:nvContentPartPr>
          <xdr14:nvPr macro=""/>
          <xdr14:xfrm>
            <a:off x="13772880" y="4371840"/>
            <a:ext cx="360" cy="57600"/>
          </xdr14:xfrm>
        </xdr:contentPart>
      </mc:Choice>
      <mc:Fallback xmlns="">
        <xdr:pic>
          <xdr:nvPicPr>
            <xdr:cNvPr id="17" name="Ink 16">
              <a:extLst>
                <a:ext uri="{FF2B5EF4-FFF2-40B4-BE49-F238E27FC236}">
                  <a16:creationId xmlns:a16="http://schemas.microsoft.com/office/drawing/2014/main" id="{C5973515-C760-A2E4-A3E1-391776C4CE62}"/>
                </a:ext>
              </a:extLst>
            </xdr:cNvPr>
            <xdr:cNvPicPr/>
          </xdr:nvPicPr>
          <xdr:blipFill>
            <a:blip xmlns:r="http://schemas.openxmlformats.org/officeDocument/2006/relationships" r:embed="rId14"/>
            <a:stretch>
              <a:fillRect/>
            </a:stretch>
          </xdr:blipFill>
          <xdr:spPr>
            <a:xfrm>
              <a:off x="13768560" y="4367520"/>
              <a:ext cx="9000" cy="66240"/>
            </a:xfrm>
            <a:prstGeom prst="rect">
              <a:avLst/>
            </a:prstGeom>
          </xdr:spPr>
        </xdr:pic>
      </mc:Fallback>
    </mc:AlternateContent>
    <xdr:clientData/>
  </xdr:twoCellAnchor>
  <xdr:twoCellAnchor>
    <xdr:from>
      <xdr:col>15</xdr:col>
      <xdr:colOff>257175</xdr:colOff>
      <xdr:row>7</xdr:row>
      <xdr:rowOff>180974</xdr:rowOff>
    </xdr:from>
    <xdr:to>
      <xdr:col>20</xdr:col>
      <xdr:colOff>933450</xdr:colOff>
      <xdr:row>15</xdr:row>
      <xdr:rowOff>57149</xdr:rowOff>
    </xdr:to>
    <xdr:graphicFrame macro="">
      <xdr:nvGraphicFramePr>
        <xdr:cNvPr id="20" name="Chart 19">
          <a:extLst>
            <a:ext uri="{FF2B5EF4-FFF2-40B4-BE49-F238E27FC236}">
              <a16:creationId xmlns:a16="http://schemas.microsoft.com/office/drawing/2014/main" id="{C7014A1F-D264-4B99-8A63-BE34F6D8B7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323850</xdr:colOff>
      <xdr:row>14</xdr:row>
      <xdr:rowOff>171450</xdr:rowOff>
    </xdr:from>
    <xdr:to>
      <xdr:col>20</xdr:col>
      <xdr:colOff>876297</xdr:colOff>
      <xdr:row>22</xdr:row>
      <xdr:rowOff>19051</xdr:rowOff>
    </xdr:to>
    <xdr:graphicFrame macro="">
      <xdr:nvGraphicFramePr>
        <xdr:cNvPr id="22" name="Chart 21">
          <a:extLst>
            <a:ext uri="{FF2B5EF4-FFF2-40B4-BE49-F238E27FC236}">
              <a16:creationId xmlns:a16="http://schemas.microsoft.com/office/drawing/2014/main" id="{68D64E82-7063-4C90-953E-FB8DB43A8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419099</xdr:colOff>
      <xdr:row>7</xdr:row>
      <xdr:rowOff>95249</xdr:rowOff>
    </xdr:from>
    <xdr:to>
      <xdr:col>16</xdr:col>
      <xdr:colOff>47624</xdr:colOff>
      <xdr:row>15</xdr:row>
      <xdr:rowOff>142874</xdr:rowOff>
    </xdr:to>
    <xdr:graphicFrame macro="">
      <xdr:nvGraphicFramePr>
        <xdr:cNvPr id="24" name="Chart 23">
          <a:extLst>
            <a:ext uri="{FF2B5EF4-FFF2-40B4-BE49-F238E27FC236}">
              <a16:creationId xmlns:a16="http://schemas.microsoft.com/office/drawing/2014/main" id="{F52D4322-1EB2-44F2-A9DD-E1F8B2B2A0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218880</xdr:colOff>
      <xdr:row>0</xdr:row>
      <xdr:rowOff>66600</xdr:rowOff>
    </xdr:from>
    <xdr:to>
      <xdr:col>3</xdr:col>
      <xdr:colOff>247680</xdr:colOff>
      <xdr:row>3</xdr:row>
      <xdr:rowOff>9540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89" name="Ink 88">
              <a:extLst>
                <a:ext uri="{FF2B5EF4-FFF2-40B4-BE49-F238E27FC236}">
                  <a16:creationId xmlns:a16="http://schemas.microsoft.com/office/drawing/2014/main" id="{10F15D7E-7B23-31A7-578A-5FA0568F8E2F}"/>
                </a:ext>
              </a:extLst>
            </xdr14:cNvPr>
            <xdr14:cNvContentPartPr/>
          </xdr14:nvContentPartPr>
          <xdr14:nvPr macro=""/>
          <xdr14:xfrm>
            <a:off x="2047680" y="66600"/>
            <a:ext cx="28800" cy="514440"/>
          </xdr14:xfrm>
        </xdr:contentPart>
      </mc:Choice>
      <mc:Fallback xmlns="">
        <xdr:pic>
          <xdr:nvPicPr>
            <xdr:cNvPr id="89" name="Ink 88">
              <a:extLst>
                <a:ext uri="{FF2B5EF4-FFF2-40B4-BE49-F238E27FC236}">
                  <a16:creationId xmlns:a16="http://schemas.microsoft.com/office/drawing/2014/main" id="{10F15D7E-7B23-31A7-578A-5FA0568F8E2F}"/>
                </a:ext>
              </a:extLst>
            </xdr:cNvPr>
            <xdr:cNvPicPr/>
          </xdr:nvPicPr>
          <xdr:blipFill>
            <a:blip xmlns:r="http://schemas.openxmlformats.org/officeDocument/2006/relationships" r:embed="rId2"/>
            <a:stretch>
              <a:fillRect/>
            </a:stretch>
          </xdr:blipFill>
          <xdr:spPr>
            <a:xfrm>
              <a:off x="1558080" y="60480"/>
              <a:ext cx="1008000" cy="526680"/>
            </a:xfrm>
            <a:prstGeom prst="rect">
              <a:avLst/>
            </a:prstGeom>
          </xdr:spPr>
        </xdr:pic>
      </mc:Fallback>
    </mc:AlternateContent>
    <xdr:clientData/>
  </xdr:twoCellAnchor>
  <xdr:twoCellAnchor editAs="oneCell">
    <xdr:from>
      <xdr:col>3</xdr:col>
      <xdr:colOff>218880</xdr:colOff>
      <xdr:row>0</xdr:row>
      <xdr:rowOff>56880</xdr:rowOff>
    </xdr:from>
    <xdr:to>
      <xdr:col>21</xdr:col>
      <xdr:colOff>410040</xdr:colOff>
      <xdr:row>0</xdr:row>
      <xdr:rowOff>57600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93" name="Ink 92">
              <a:extLst>
                <a:ext uri="{FF2B5EF4-FFF2-40B4-BE49-F238E27FC236}">
                  <a16:creationId xmlns:a16="http://schemas.microsoft.com/office/drawing/2014/main" id="{79D0211A-8CC0-4E7A-7C23-EF48343DBBEB}"/>
                </a:ext>
              </a:extLst>
            </xdr14:cNvPr>
            <xdr14:cNvContentPartPr/>
          </xdr14:nvContentPartPr>
          <xdr14:nvPr macro=""/>
          <xdr14:xfrm>
            <a:off x="2047680" y="56880"/>
            <a:ext cx="11163960" cy="720"/>
          </xdr14:xfrm>
        </xdr:contentPart>
      </mc:Choice>
      <mc:Fallback xmlns="">
        <xdr:pic>
          <xdr:nvPicPr>
            <xdr:cNvPr id="93" name="Ink 92">
              <a:extLst>
                <a:ext uri="{FF2B5EF4-FFF2-40B4-BE49-F238E27FC236}">
                  <a16:creationId xmlns:a16="http://schemas.microsoft.com/office/drawing/2014/main" id="{79D0211A-8CC0-4E7A-7C23-EF48343DBBEB}"/>
                </a:ext>
              </a:extLst>
            </xdr:cNvPr>
            <xdr:cNvPicPr/>
          </xdr:nvPicPr>
          <xdr:blipFill>
            <a:blip xmlns:r="http://schemas.openxmlformats.org/officeDocument/2006/relationships" r:embed="rId4"/>
            <a:stretch>
              <a:fillRect/>
            </a:stretch>
          </xdr:blipFill>
          <xdr:spPr>
            <a:xfrm>
              <a:off x="2041560" y="44640"/>
              <a:ext cx="11176200" cy="25200"/>
            </a:xfrm>
            <a:prstGeom prst="rect">
              <a:avLst/>
            </a:prstGeom>
          </xdr:spPr>
        </xdr:pic>
      </mc:Fallback>
    </mc:AlternateContent>
    <xdr:clientData/>
  </xdr:twoCellAnchor>
  <xdr:twoCellAnchor editAs="oneCell">
    <xdr:from>
      <xdr:col>21</xdr:col>
      <xdr:colOff>418680</xdr:colOff>
      <xdr:row>0</xdr:row>
      <xdr:rowOff>66600</xdr:rowOff>
    </xdr:from>
    <xdr:to>
      <xdr:col>21</xdr:col>
      <xdr:colOff>419400</xdr:colOff>
      <xdr:row>3</xdr:row>
      <xdr:rowOff>180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95" name="Ink 94">
              <a:extLst>
                <a:ext uri="{FF2B5EF4-FFF2-40B4-BE49-F238E27FC236}">
                  <a16:creationId xmlns:a16="http://schemas.microsoft.com/office/drawing/2014/main" id="{CE2C88C0-92DD-3C81-15C8-8429CEFE60F4}"/>
                </a:ext>
              </a:extLst>
            </xdr14:cNvPr>
            <xdr14:cNvContentPartPr/>
          </xdr14:nvContentPartPr>
          <xdr14:nvPr macro=""/>
          <xdr14:xfrm>
            <a:off x="13220280" y="66600"/>
            <a:ext cx="720" cy="505080"/>
          </xdr14:xfrm>
        </xdr:contentPart>
      </mc:Choice>
      <mc:Fallback xmlns="">
        <xdr:pic>
          <xdr:nvPicPr>
            <xdr:cNvPr id="95" name="Ink 94">
              <a:extLst>
                <a:ext uri="{FF2B5EF4-FFF2-40B4-BE49-F238E27FC236}">
                  <a16:creationId xmlns:a16="http://schemas.microsoft.com/office/drawing/2014/main" id="{CE2C88C0-92DD-3C81-15C8-8429CEFE60F4}"/>
                </a:ext>
              </a:extLst>
            </xdr:cNvPr>
            <xdr:cNvPicPr/>
          </xdr:nvPicPr>
          <xdr:blipFill>
            <a:blip xmlns:r="http://schemas.openxmlformats.org/officeDocument/2006/relationships" r:embed="rId6"/>
            <a:stretch>
              <a:fillRect/>
            </a:stretch>
          </xdr:blipFill>
          <xdr:spPr>
            <a:xfrm>
              <a:off x="13208040" y="60480"/>
              <a:ext cx="25200" cy="517320"/>
            </a:xfrm>
            <a:prstGeom prst="rect">
              <a:avLst/>
            </a:prstGeom>
          </xdr:spPr>
        </xdr:pic>
      </mc:Fallback>
    </mc:AlternateContent>
    <xdr:clientData/>
  </xdr:twoCellAnchor>
  <xdr:twoCellAnchor editAs="oneCell">
    <xdr:from>
      <xdr:col>3</xdr:col>
      <xdr:colOff>213480</xdr:colOff>
      <xdr:row>2</xdr:row>
      <xdr:rowOff>170880</xdr:rowOff>
    </xdr:from>
    <xdr:to>
      <xdr:col>21</xdr:col>
      <xdr:colOff>419040</xdr:colOff>
      <xdr:row>2</xdr:row>
      <xdr:rowOff>171600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98" name="Ink 97">
              <a:extLst>
                <a:ext uri="{FF2B5EF4-FFF2-40B4-BE49-F238E27FC236}">
                  <a16:creationId xmlns:a16="http://schemas.microsoft.com/office/drawing/2014/main" id="{FEE792DF-173C-8821-9ADA-31BE5870E650}"/>
                </a:ext>
              </a:extLst>
            </xdr14:cNvPr>
            <xdr14:cNvContentPartPr/>
          </xdr14:nvContentPartPr>
          <xdr14:nvPr macro=""/>
          <xdr14:xfrm>
            <a:off x="2042280" y="551880"/>
            <a:ext cx="11178360" cy="720"/>
          </xdr14:xfrm>
        </xdr:contentPart>
      </mc:Choice>
      <mc:Fallback xmlns="">
        <xdr:pic>
          <xdr:nvPicPr>
            <xdr:cNvPr id="98" name="Ink 97">
              <a:extLst>
                <a:ext uri="{FF2B5EF4-FFF2-40B4-BE49-F238E27FC236}">
                  <a16:creationId xmlns:a16="http://schemas.microsoft.com/office/drawing/2014/main" id="{FEE792DF-173C-8821-9ADA-31BE5870E650}"/>
                </a:ext>
              </a:extLst>
            </xdr:cNvPr>
            <xdr:cNvPicPr/>
          </xdr:nvPicPr>
          <xdr:blipFill>
            <a:blip xmlns:r="http://schemas.openxmlformats.org/officeDocument/2006/relationships" r:embed="rId8"/>
            <a:stretch>
              <a:fillRect/>
            </a:stretch>
          </xdr:blipFill>
          <xdr:spPr>
            <a:xfrm>
              <a:off x="2036160" y="539640"/>
              <a:ext cx="11190600" cy="25200"/>
            </a:xfrm>
            <a:prstGeom prst="rect">
              <a:avLst/>
            </a:prstGeom>
          </xdr:spPr>
        </xdr:pic>
      </mc:Fallback>
    </mc:AlternateContent>
    <xdr:clientData/>
  </xdr:twoCellAnchor>
  <xdr:twoCellAnchor editAs="oneCell">
    <xdr:from>
      <xdr:col>6</xdr:col>
      <xdr:colOff>227160</xdr:colOff>
      <xdr:row>0</xdr:row>
      <xdr:rowOff>85680</xdr:rowOff>
    </xdr:from>
    <xdr:to>
      <xdr:col>6</xdr:col>
      <xdr:colOff>262800</xdr:colOff>
      <xdr:row>2</xdr:row>
      <xdr:rowOff>104640</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9" name="Ink 98">
              <a:extLst>
                <a:ext uri="{FF2B5EF4-FFF2-40B4-BE49-F238E27FC236}">
                  <a16:creationId xmlns:a16="http://schemas.microsoft.com/office/drawing/2014/main" id="{603879D5-7E40-B98B-C007-9157ACAFE088}"/>
                </a:ext>
              </a:extLst>
            </xdr14:cNvPr>
            <xdr14:cNvContentPartPr/>
          </xdr14:nvContentPartPr>
          <xdr14:nvPr macro=""/>
          <xdr14:xfrm>
            <a:off x="3884760" y="85680"/>
            <a:ext cx="35640" cy="399960"/>
          </xdr14:xfrm>
        </xdr:contentPart>
      </mc:Choice>
      <mc:Fallback xmlns="">
        <xdr:pic>
          <xdr:nvPicPr>
            <xdr:cNvPr id="99" name="Ink 98">
              <a:extLst>
                <a:ext uri="{FF2B5EF4-FFF2-40B4-BE49-F238E27FC236}">
                  <a16:creationId xmlns:a16="http://schemas.microsoft.com/office/drawing/2014/main" id="{603879D5-7E40-B98B-C007-9157ACAFE088}"/>
                </a:ext>
              </a:extLst>
            </xdr:cNvPr>
            <xdr:cNvPicPr/>
          </xdr:nvPicPr>
          <xdr:blipFill>
            <a:blip xmlns:r="http://schemas.openxmlformats.org/officeDocument/2006/relationships" r:embed="rId10"/>
            <a:stretch>
              <a:fillRect/>
            </a:stretch>
          </xdr:blipFill>
          <xdr:spPr>
            <a:xfrm>
              <a:off x="3878640" y="79560"/>
              <a:ext cx="47880" cy="412200"/>
            </a:xfrm>
            <a:prstGeom prst="rect">
              <a:avLst/>
            </a:prstGeom>
          </xdr:spPr>
        </xdr:pic>
      </mc:Fallback>
    </mc:AlternateContent>
    <xdr:clientData/>
  </xdr:twoCellAnchor>
  <xdr:twoCellAnchor editAs="oneCell">
    <xdr:from>
      <xdr:col>6</xdr:col>
      <xdr:colOff>266400</xdr:colOff>
      <xdr:row>0</xdr:row>
      <xdr:rowOff>133920</xdr:rowOff>
    </xdr:from>
    <xdr:to>
      <xdr:col>6</xdr:col>
      <xdr:colOff>429840</xdr:colOff>
      <xdr:row>2</xdr:row>
      <xdr:rowOff>108960</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100" name="Ink 99">
              <a:extLst>
                <a:ext uri="{FF2B5EF4-FFF2-40B4-BE49-F238E27FC236}">
                  <a16:creationId xmlns:a16="http://schemas.microsoft.com/office/drawing/2014/main" id="{FA5B970B-80E9-FF2D-F27C-C3369CF19CC7}"/>
                </a:ext>
              </a:extLst>
            </xdr14:cNvPr>
            <xdr14:cNvContentPartPr/>
          </xdr14:nvContentPartPr>
          <xdr14:nvPr macro=""/>
          <xdr14:xfrm>
            <a:off x="3924000" y="133920"/>
            <a:ext cx="163440" cy="356040"/>
          </xdr14:xfrm>
        </xdr:contentPart>
      </mc:Choice>
      <mc:Fallback xmlns="">
        <xdr:pic>
          <xdr:nvPicPr>
            <xdr:cNvPr id="100" name="Ink 99">
              <a:extLst>
                <a:ext uri="{FF2B5EF4-FFF2-40B4-BE49-F238E27FC236}">
                  <a16:creationId xmlns:a16="http://schemas.microsoft.com/office/drawing/2014/main" id="{FA5B970B-80E9-FF2D-F27C-C3369CF19CC7}"/>
                </a:ext>
              </a:extLst>
            </xdr:cNvPr>
            <xdr:cNvPicPr/>
          </xdr:nvPicPr>
          <xdr:blipFill>
            <a:blip xmlns:r="http://schemas.openxmlformats.org/officeDocument/2006/relationships" r:embed="rId12"/>
            <a:stretch>
              <a:fillRect/>
            </a:stretch>
          </xdr:blipFill>
          <xdr:spPr>
            <a:xfrm>
              <a:off x="3917880" y="127800"/>
              <a:ext cx="175680" cy="368280"/>
            </a:xfrm>
            <a:prstGeom prst="rect">
              <a:avLst/>
            </a:prstGeom>
          </xdr:spPr>
        </xdr:pic>
      </mc:Fallback>
    </mc:AlternateContent>
    <xdr:clientData/>
  </xdr:twoCellAnchor>
  <xdr:twoCellAnchor editAs="oneCell">
    <xdr:from>
      <xdr:col>7</xdr:col>
      <xdr:colOff>513960</xdr:colOff>
      <xdr:row>0</xdr:row>
      <xdr:rowOff>152280</xdr:rowOff>
    </xdr:from>
    <xdr:to>
      <xdr:col>8</xdr:col>
      <xdr:colOff>67800</xdr:colOff>
      <xdr:row>2</xdr:row>
      <xdr:rowOff>132720</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13" name="Ink 112">
              <a:extLst>
                <a:ext uri="{FF2B5EF4-FFF2-40B4-BE49-F238E27FC236}">
                  <a16:creationId xmlns:a16="http://schemas.microsoft.com/office/drawing/2014/main" id="{0D354ACF-550F-DF5C-9C7D-DE64FBB11E09}"/>
                </a:ext>
              </a:extLst>
            </xdr14:cNvPr>
            <xdr14:cNvContentPartPr/>
          </xdr14:nvContentPartPr>
          <xdr14:nvPr macro=""/>
          <xdr14:xfrm>
            <a:off x="4781160" y="152280"/>
            <a:ext cx="163440" cy="361440"/>
          </xdr14:xfrm>
        </xdr:contentPart>
      </mc:Choice>
      <mc:Fallback xmlns="">
        <xdr:pic>
          <xdr:nvPicPr>
            <xdr:cNvPr id="113" name="Ink 112">
              <a:extLst>
                <a:ext uri="{FF2B5EF4-FFF2-40B4-BE49-F238E27FC236}">
                  <a16:creationId xmlns:a16="http://schemas.microsoft.com/office/drawing/2014/main" id="{0D354ACF-550F-DF5C-9C7D-DE64FBB11E09}"/>
                </a:ext>
              </a:extLst>
            </xdr:cNvPr>
            <xdr:cNvPicPr/>
          </xdr:nvPicPr>
          <xdr:blipFill>
            <a:blip xmlns:r="http://schemas.openxmlformats.org/officeDocument/2006/relationships" r:embed="rId14"/>
            <a:stretch>
              <a:fillRect/>
            </a:stretch>
          </xdr:blipFill>
          <xdr:spPr>
            <a:xfrm>
              <a:off x="4775040" y="146160"/>
              <a:ext cx="175680" cy="373680"/>
            </a:xfrm>
            <a:prstGeom prst="rect">
              <a:avLst/>
            </a:prstGeom>
          </xdr:spPr>
        </xdr:pic>
      </mc:Fallback>
    </mc:AlternateContent>
    <xdr:clientData/>
  </xdr:twoCellAnchor>
  <xdr:twoCellAnchor editAs="oneCell">
    <xdr:from>
      <xdr:col>8</xdr:col>
      <xdr:colOff>496200</xdr:colOff>
      <xdr:row>0</xdr:row>
      <xdr:rowOff>180720</xdr:rowOff>
    </xdr:from>
    <xdr:to>
      <xdr:col>9</xdr:col>
      <xdr:colOff>72720</xdr:colOff>
      <xdr:row>2</xdr:row>
      <xdr:rowOff>114000</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16" name="Ink 115">
              <a:extLst>
                <a:ext uri="{FF2B5EF4-FFF2-40B4-BE49-F238E27FC236}">
                  <a16:creationId xmlns:a16="http://schemas.microsoft.com/office/drawing/2014/main" id="{AFFD8396-4DFD-8715-E8FB-842689F2C4D3}"/>
                </a:ext>
              </a:extLst>
            </xdr14:cNvPr>
            <xdr14:cNvContentPartPr/>
          </xdr14:nvContentPartPr>
          <xdr14:nvPr macro=""/>
          <xdr14:xfrm>
            <a:off x="5373000" y="180720"/>
            <a:ext cx="186120" cy="314280"/>
          </xdr14:xfrm>
        </xdr:contentPart>
      </mc:Choice>
      <mc:Fallback xmlns="">
        <xdr:pic>
          <xdr:nvPicPr>
            <xdr:cNvPr id="116" name="Ink 115">
              <a:extLst>
                <a:ext uri="{FF2B5EF4-FFF2-40B4-BE49-F238E27FC236}">
                  <a16:creationId xmlns:a16="http://schemas.microsoft.com/office/drawing/2014/main" id="{AFFD8396-4DFD-8715-E8FB-842689F2C4D3}"/>
                </a:ext>
              </a:extLst>
            </xdr:cNvPr>
            <xdr:cNvPicPr/>
          </xdr:nvPicPr>
          <xdr:blipFill>
            <a:blip xmlns:r="http://schemas.openxmlformats.org/officeDocument/2006/relationships" r:embed="rId16"/>
            <a:stretch>
              <a:fillRect/>
            </a:stretch>
          </xdr:blipFill>
          <xdr:spPr>
            <a:xfrm>
              <a:off x="5366868" y="174600"/>
              <a:ext cx="198384" cy="326520"/>
            </a:xfrm>
            <a:prstGeom prst="rect">
              <a:avLst/>
            </a:prstGeom>
          </xdr:spPr>
        </xdr:pic>
      </mc:Fallback>
    </mc:AlternateContent>
    <xdr:clientData/>
  </xdr:twoCellAnchor>
  <xdr:twoCellAnchor editAs="oneCell">
    <xdr:from>
      <xdr:col>9</xdr:col>
      <xdr:colOff>578520</xdr:colOff>
      <xdr:row>0</xdr:row>
      <xdr:rowOff>171000</xdr:rowOff>
    </xdr:from>
    <xdr:to>
      <xdr:col>10</xdr:col>
      <xdr:colOff>219480</xdr:colOff>
      <xdr:row>2</xdr:row>
      <xdr:rowOff>105720</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20" name="Ink 119">
              <a:extLst>
                <a:ext uri="{FF2B5EF4-FFF2-40B4-BE49-F238E27FC236}">
                  <a16:creationId xmlns:a16="http://schemas.microsoft.com/office/drawing/2014/main" id="{65F4F2DC-F831-8FE5-E77B-19C50473785B}"/>
                </a:ext>
              </a:extLst>
            </xdr14:cNvPr>
            <xdr14:cNvContentPartPr/>
          </xdr14:nvContentPartPr>
          <xdr14:nvPr macro=""/>
          <xdr14:xfrm>
            <a:off x="6064920" y="171000"/>
            <a:ext cx="250560" cy="315720"/>
          </xdr14:xfrm>
        </xdr:contentPart>
      </mc:Choice>
      <mc:Fallback xmlns="">
        <xdr:pic>
          <xdr:nvPicPr>
            <xdr:cNvPr id="120" name="Ink 119">
              <a:extLst>
                <a:ext uri="{FF2B5EF4-FFF2-40B4-BE49-F238E27FC236}">
                  <a16:creationId xmlns:a16="http://schemas.microsoft.com/office/drawing/2014/main" id="{65F4F2DC-F831-8FE5-E77B-19C50473785B}"/>
                </a:ext>
              </a:extLst>
            </xdr:cNvPr>
            <xdr:cNvPicPr/>
          </xdr:nvPicPr>
          <xdr:blipFill>
            <a:blip xmlns:r="http://schemas.openxmlformats.org/officeDocument/2006/relationships" r:embed="rId18"/>
            <a:stretch>
              <a:fillRect/>
            </a:stretch>
          </xdr:blipFill>
          <xdr:spPr>
            <a:xfrm>
              <a:off x="6058809" y="164880"/>
              <a:ext cx="262782" cy="327960"/>
            </a:xfrm>
            <a:prstGeom prst="rect">
              <a:avLst/>
            </a:prstGeom>
          </xdr:spPr>
        </xdr:pic>
      </mc:Fallback>
    </mc:AlternateContent>
    <xdr:clientData/>
  </xdr:twoCellAnchor>
  <xdr:twoCellAnchor editAs="oneCell">
    <xdr:from>
      <xdr:col>11</xdr:col>
      <xdr:colOff>112440</xdr:colOff>
      <xdr:row>0</xdr:row>
      <xdr:rowOff>189360</xdr:rowOff>
    </xdr:from>
    <xdr:to>
      <xdr:col>11</xdr:col>
      <xdr:colOff>389280</xdr:colOff>
      <xdr:row>2</xdr:row>
      <xdr:rowOff>143880</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21" name="Ink 120">
              <a:extLst>
                <a:ext uri="{FF2B5EF4-FFF2-40B4-BE49-F238E27FC236}">
                  <a16:creationId xmlns:a16="http://schemas.microsoft.com/office/drawing/2014/main" id="{19545F96-333F-CFF4-A917-D21408630FED}"/>
                </a:ext>
              </a:extLst>
            </xdr14:cNvPr>
            <xdr14:cNvContentPartPr/>
          </xdr14:nvContentPartPr>
          <xdr14:nvPr macro=""/>
          <xdr14:xfrm>
            <a:off x="6818040" y="189360"/>
            <a:ext cx="276840" cy="335520"/>
          </xdr14:xfrm>
        </xdr:contentPart>
      </mc:Choice>
      <mc:Fallback xmlns="">
        <xdr:pic>
          <xdr:nvPicPr>
            <xdr:cNvPr id="121" name="Ink 120">
              <a:extLst>
                <a:ext uri="{FF2B5EF4-FFF2-40B4-BE49-F238E27FC236}">
                  <a16:creationId xmlns:a16="http://schemas.microsoft.com/office/drawing/2014/main" id="{19545F96-333F-CFF4-A917-D21408630FED}"/>
                </a:ext>
              </a:extLst>
            </xdr:cNvPr>
            <xdr:cNvPicPr/>
          </xdr:nvPicPr>
          <xdr:blipFill>
            <a:blip xmlns:r="http://schemas.openxmlformats.org/officeDocument/2006/relationships" r:embed="rId20"/>
            <a:stretch>
              <a:fillRect/>
            </a:stretch>
          </xdr:blipFill>
          <xdr:spPr>
            <a:xfrm>
              <a:off x="6811920" y="183240"/>
              <a:ext cx="289080" cy="347760"/>
            </a:xfrm>
            <a:prstGeom prst="rect">
              <a:avLst/>
            </a:prstGeom>
          </xdr:spPr>
        </xdr:pic>
      </mc:Fallback>
    </mc:AlternateContent>
    <xdr:clientData/>
  </xdr:twoCellAnchor>
  <xdr:twoCellAnchor editAs="oneCell">
    <xdr:from>
      <xdr:col>12</xdr:col>
      <xdr:colOff>253800</xdr:colOff>
      <xdr:row>1</xdr:row>
      <xdr:rowOff>17940</xdr:rowOff>
    </xdr:from>
    <xdr:to>
      <xdr:col>12</xdr:col>
      <xdr:colOff>450720</xdr:colOff>
      <xdr:row>2</xdr:row>
      <xdr:rowOff>57840</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23" name="Ink 122">
              <a:extLst>
                <a:ext uri="{FF2B5EF4-FFF2-40B4-BE49-F238E27FC236}">
                  <a16:creationId xmlns:a16="http://schemas.microsoft.com/office/drawing/2014/main" id="{175F3885-1701-1C37-F341-E546E39D0F4A}"/>
                </a:ext>
              </a:extLst>
            </xdr14:cNvPr>
            <xdr14:cNvContentPartPr/>
          </xdr14:nvContentPartPr>
          <xdr14:nvPr macro=""/>
          <xdr14:xfrm>
            <a:off x="7569000" y="208440"/>
            <a:ext cx="196920" cy="230400"/>
          </xdr14:xfrm>
        </xdr:contentPart>
      </mc:Choice>
      <mc:Fallback xmlns="">
        <xdr:pic>
          <xdr:nvPicPr>
            <xdr:cNvPr id="123" name="Ink 122">
              <a:extLst>
                <a:ext uri="{FF2B5EF4-FFF2-40B4-BE49-F238E27FC236}">
                  <a16:creationId xmlns:a16="http://schemas.microsoft.com/office/drawing/2014/main" id="{175F3885-1701-1C37-F341-E546E39D0F4A}"/>
                </a:ext>
              </a:extLst>
            </xdr:cNvPr>
            <xdr:cNvPicPr/>
          </xdr:nvPicPr>
          <xdr:blipFill>
            <a:blip xmlns:r="http://schemas.openxmlformats.org/officeDocument/2006/relationships" r:embed="rId22"/>
            <a:stretch>
              <a:fillRect/>
            </a:stretch>
          </xdr:blipFill>
          <xdr:spPr>
            <a:xfrm>
              <a:off x="7562880" y="202320"/>
              <a:ext cx="209160" cy="242640"/>
            </a:xfrm>
            <a:prstGeom prst="rect">
              <a:avLst/>
            </a:prstGeom>
          </xdr:spPr>
        </xdr:pic>
      </mc:Fallback>
    </mc:AlternateContent>
    <xdr:clientData/>
  </xdr:twoCellAnchor>
  <xdr:twoCellAnchor editAs="oneCell">
    <xdr:from>
      <xdr:col>13</xdr:col>
      <xdr:colOff>541320</xdr:colOff>
      <xdr:row>0</xdr:row>
      <xdr:rowOff>103680</xdr:rowOff>
    </xdr:from>
    <xdr:to>
      <xdr:col>14</xdr:col>
      <xdr:colOff>183720</xdr:colOff>
      <xdr:row>2</xdr:row>
      <xdr:rowOff>93120</xdr:rowOff>
    </xdr:to>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128" name="Ink 127">
              <a:extLst>
                <a:ext uri="{FF2B5EF4-FFF2-40B4-BE49-F238E27FC236}">
                  <a16:creationId xmlns:a16="http://schemas.microsoft.com/office/drawing/2014/main" id="{1B0B7E97-D60F-5387-A441-6978D015FE6E}"/>
                </a:ext>
              </a:extLst>
            </xdr14:cNvPr>
            <xdr14:cNvContentPartPr/>
          </xdr14:nvContentPartPr>
          <xdr14:nvPr macro=""/>
          <xdr14:xfrm>
            <a:off x="8466120" y="103680"/>
            <a:ext cx="252000" cy="370440"/>
          </xdr14:xfrm>
        </xdr:contentPart>
      </mc:Choice>
      <mc:Fallback xmlns="">
        <xdr:pic>
          <xdr:nvPicPr>
            <xdr:cNvPr id="128" name="Ink 127">
              <a:extLst>
                <a:ext uri="{FF2B5EF4-FFF2-40B4-BE49-F238E27FC236}">
                  <a16:creationId xmlns:a16="http://schemas.microsoft.com/office/drawing/2014/main" id="{1B0B7E97-D60F-5387-A441-6978D015FE6E}"/>
                </a:ext>
              </a:extLst>
            </xdr:cNvPr>
            <xdr:cNvPicPr/>
          </xdr:nvPicPr>
          <xdr:blipFill>
            <a:blip xmlns:r="http://schemas.openxmlformats.org/officeDocument/2006/relationships" r:embed="rId24"/>
            <a:stretch>
              <a:fillRect/>
            </a:stretch>
          </xdr:blipFill>
          <xdr:spPr>
            <a:xfrm>
              <a:off x="8460000" y="97560"/>
              <a:ext cx="264240" cy="382680"/>
            </a:xfrm>
            <a:prstGeom prst="rect">
              <a:avLst/>
            </a:prstGeom>
          </xdr:spPr>
        </xdr:pic>
      </mc:Fallback>
    </mc:AlternateContent>
    <xdr:clientData/>
  </xdr:twoCellAnchor>
  <xdr:twoCellAnchor editAs="oneCell">
    <xdr:from>
      <xdr:col>15</xdr:col>
      <xdr:colOff>161640</xdr:colOff>
      <xdr:row>0</xdr:row>
      <xdr:rowOff>129240</xdr:rowOff>
    </xdr:from>
    <xdr:to>
      <xdr:col>15</xdr:col>
      <xdr:colOff>380880</xdr:colOff>
      <xdr:row>2</xdr:row>
      <xdr:rowOff>136320</xdr:rowOff>
    </xdr:to>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133" name="Ink 132">
              <a:extLst>
                <a:ext uri="{FF2B5EF4-FFF2-40B4-BE49-F238E27FC236}">
                  <a16:creationId xmlns:a16="http://schemas.microsoft.com/office/drawing/2014/main" id="{02649F8F-6095-FB58-14C4-9DF2BF76F90C}"/>
                </a:ext>
              </a:extLst>
            </xdr14:cNvPr>
            <xdr14:cNvContentPartPr/>
          </xdr14:nvContentPartPr>
          <xdr14:nvPr macro=""/>
          <xdr14:xfrm>
            <a:off x="9305640" y="129240"/>
            <a:ext cx="219240" cy="388080"/>
          </xdr14:xfrm>
        </xdr:contentPart>
      </mc:Choice>
      <mc:Fallback xmlns="">
        <xdr:pic>
          <xdr:nvPicPr>
            <xdr:cNvPr id="133" name="Ink 132">
              <a:extLst>
                <a:ext uri="{FF2B5EF4-FFF2-40B4-BE49-F238E27FC236}">
                  <a16:creationId xmlns:a16="http://schemas.microsoft.com/office/drawing/2014/main" id="{02649F8F-6095-FB58-14C4-9DF2BF76F90C}"/>
                </a:ext>
              </a:extLst>
            </xdr:cNvPr>
            <xdr:cNvPicPr/>
          </xdr:nvPicPr>
          <xdr:blipFill>
            <a:blip xmlns:r="http://schemas.openxmlformats.org/officeDocument/2006/relationships" r:embed="rId26"/>
            <a:stretch>
              <a:fillRect/>
            </a:stretch>
          </xdr:blipFill>
          <xdr:spPr>
            <a:xfrm>
              <a:off x="9299520" y="123120"/>
              <a:ext cx="231480" cy="400320"/>
            </a:xfrm>
            <a:prstGeom prst="rect">
              <a:avLst/>
            </a:prstGeom>
          </xdr:spPr>
        </xdr:pic>
      </mc:Fallback>
    </mc:AlternateContent>
    <xdr:clientData/>
  </xdr:twoCellAnchor>
  <xdr:twoCellAnchor editAs="oneCell">
    <xdr:from>
      <xdr:col>21</xdr:col>
      <xdr:colOff>418680</xdr:colOff>
      <xdr:row>0</xdr:row>
      <xdr:rowOff>66600</xdr:rowOff>
    </xdr:from>
    <xdr:to>
      <xdr:col>21</xdr:col>
      <xdr:colOff>419040</xdr:colOff>
      <xdr:row>0</xdr:row>
      <xdr:rowOff>66960</xdr:rowOff>
    </xdr:to>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135" name="Ink 134">
              <a:extLst>
                <a:ext uri="{FF2B5EF4-FFF2-40B4-BE49-F238E27FC236}">
                  <a16:creationId xmlns:a16="http://schemas.microsoft.com/office/drawing/2014/main" id="{652F9B37-01E3-F981-D730-847FC60AA597}"/>
                </a:ext>
              </a:extLst>
            </xdr14:cNvPr>
            <xdr14:cNvContentPartPr/>
          </xdr14:nvContentPartPr>
          <xdr14:nvPr macro=""/>
          <xdr14:xfrm>
            <a:off x="13220280" y="66600"/>
            <a:ext cx="360" cy="360"/>
          </xdr14:xfrm>
        </xdr:contentPart>
      </mc:Choice>
      <mc:Fallback xmlns="">
        <xdr:pic>
          <xdr:nvPicPr>
            <xdr:cNvPr id="135" name="Ink 134">
              <a:extLst>
                <a:ext uri="{FF2B5EF4-FFF2-40B4-BE49-F238E27FC236}">
                  <a16:creationId xmlns:a16="http://schemas.microsoft.com/office/drawing/2014/main" id="{652F9B37-01E3-F981-D730-847FC60AA597}"/>
                </a:ext>
              </a:extLst>
            </xdr:cNvPr>
            <xdr:cNvPicPr/>
          </xdr:nvPicPr>
          <xdr:blipFill>
            <a:blip xmlns:r="http://schemas.openxmlformats.org/officeDocument/2006/relationships" r:embed="rId28"/>
            <a:stretch>
              <a:fillRect/>
            </a:stretch>
          </xdr:blipFill>
          <xdr:spPr>
            <a:xfrm>
              <a:off x="13214160" y="60480"/>
              <a:ext cx="12600" cy="12600"/>
            </a:xfrm>
            <a:prstGeom prst="rect">
              <a:avLst/>
            </a:prstGeom>
          </xdr:spPr>
        </xdr:pic>
      </mc:Fallback>
    </mc:AlternateContent>
    <xdr:clientData/>
  </xdr:twoCellAnchor>
  <xdr:twoCellAnchor editAs="oneCell">
    <xdr:from>
      <xdr:col>21</xdr:col>
      <xdr:colOff>418680</xdr:colOff>
      <xdr:row>0</xdr:row>
      <xdr:rowOff>75960</xdr:rowOff>
    </xdr:from>
    <xdr:to>
      <xdr:col>24</xdr:col>
      <xdr:colOff>372960</xdr:colOff>
      <xdr:row>0</xdr:row>
      <xdr:rowOff>76680</xdr:rowOff>
    </xdr:to>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138" name="Ink 137">
              <a:extLst>
                <a:ext uri="{FF2B5EF4-FFF2-40B4-BE49-F238E27FC236}">
                  <a16:creationId xmlns:a16="http://schemas.microsoft.com/office/drawing/2014/main" id="{F8DDAD6D-A126-9F75-CFC8-095F2CF7F24D}"/>
                </a:ext>
              </a:extLst>
            </xdr14:cNvPr>
            <xdr14:cNvContentPartPr/>
          </xdr14:nvContentPartPr>
          <xdr14:nvPr macro=""/>
          <xdr14:xfrm>
            <a:off x="13220280" y="75960"/>
            <a:ext cx="1783080" cy="720"/>
          </xdr14:xfrm>
        </xdr:contentPart>
      </mc:Choice>
      <mc:Fallback xmlns="">
        <xdr:pic>
          <xdr:nvPicPr>
            <xdr:cNvPr id="138" name="Ink 137">
              <a:extLst>
                <a:ext uri="{FF2B5EF4-FFF2-40B4-BE49-F238E27FC236}">
                  <a16:creationId xmlns:a16="http://schemas.microsoft.com/office/drawing/2014/main" id="{F8DDAD6D-A126-9F75-CFC8-095F2CF7F24D}"/>
                </a:ext>
              </a:extLst>
            </xdr:cNvPr>
            <xdr:cNvPicPr/>
          </xdr:nvPicPr>
          <xdr:blipFill>
            <a:blip xmlns:r="http://schemas.openxmlformats.org/officeDocument/2006/relationships" r:embed="rId30"/>
            <a:stretch>
              <a:fillRect/>
            </a:stretch>
          </xdr:blipFill>
          <xdr:spPr>
            <a:xfrm>
              <a:off x="13214160" y="63720"/>
              <a:ext cx="1795320" cy="25200"/>
            </a:xfrm>
            <a:prstGeom prst="rect">
              <a:avLst/>
            </a:prstGeom>
          </xdr:spPr>
        </xdr:pic>
      </mc:Fallback>
    </mc:AlternateContent>
    <xdr:clientData/>
  </xdr:twoCellAnchor>
  <xdr:twoCellAnchor editAs="oneCell">
    <xdr:from>
      <xdr:col>24</xdr:col>
      <xdr:colOff>371160</xdr:colOff>
      <xdr:row>0</xdr:row>
      <xdr:rowOff>75960</xdr:rowOff>
    </xdr:from>
    <xdr:to>
      <xdr:col>24</xdr:col>
      <xdr:colOff>371520</xdr:colOff>
      <xdr:row>0</xdr:row>
      <xdr:rowOff>76320</xdr:rowOff>
    </xdr:to>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139" name="Ink 138">
              <a:extLst>
                <a:ext uri="{FF2B5EF4-FFF2-40B4-BE49-F238E27FC236}">
                  <a16:creationId xmlns:a16="http://schemas.microsoft.com/office/drawing/2014/main" id="{13553F71-D37D-60C4-4963-5DB35078762F}"/>
                </a:ext>
              </a:extLst>
            </xdr14:cNvPr>
            <xdr14:cNvContentPartPr/>
          </xdr14:nvContentPartPr>
          <xdr14:nvPr macro=""/>
          <xdr14:xfrm>
            <a:off x="15001560" y="75960"/>
            <a:ext cx="360" cy="360"/>
          </xdr14:xfrm>
        </xdr:contentPart>
      </mc:Choice>
      <mc:Fallback xmlns="">
        <xdr:pic>
          <xdr:nvPicPr>
            <xdr:cNvPr id="139" name="Ink 138">
              <a:extLst>
                <a:ext uri="{FF2B5EF4-FFF2-40B4-BE49-F238E27FC236}">
                  <a16:creationId xmlns:a16="http://schemas.microsoft.com/office/drawing/2014/main" id="{13553F71-D37D-60C4-4963-5DB35078762F}"/>
                </a:ext>
              </a:extLst>
            </xdr:cNvPr>
            <xdr:cNvPicPr/>
          </xdr:nvPicPr>
          <xdr:blipFill>
            <a:blip xmlns:r="http://schemas.openxmlformats.org/officeDocument/2006/relationships" r:embed="rId28"/>
            <a:stretch>
              <a:fillRect/>
            </a:stretch>
          </xdr:blipFill>
          <xdr:spPr>
            <a:xfrm>
              <a:off x="14995440" y="69840"/>
              <a:ext cx="12600" cy="12600"/>
            </a:xfrm>
            <a:prstGeom prst="rect">
              <a:avLst/>
            </a:prstGeom>
          </xdr:spPr>
        </xdr:pic>
      </mc:Fallback>
    </mc:AlternateContent>
    <xdr:clientData/>
  </xdr:twoCellAnchor>
  <xdr:twoCellAnchor editAs="oneCell">
    <xdr:from>
      <xdr:col>24</xdr:col>
      <xdr:colOff>371160</xdr:colOff>
      <xdr:row>0</xdr:row>
      <xdr:rowOff>66600</xdr:rowOff>
    </xdr:from>
    <xdr:to>
      <xdr:col>24</xdr:col>
      <xdr:colOff>371880</xdr:colOff>
      <xdr:row>3</xdr:row>
      <xdr:rowOff>19620</xdr:rowOff>
    </xdr:to>
    <mc:AlternateContent xmlns:mc="http://schemas.openxmlformats.org/markup-compatibility/2006" xmlns:xdr14="http://schemas.microsoft.com/office/excel/2010/spreadsheetDrawing">
      <mc:Choice Requires="xdr14">
        <xdr:contentPart xmlns:r="http://schemas.openxmlformats.org/officeDocument/2006/relationships" r:id="rId32">
          <xdr14:nvContentPartPr>
            <xdr14:cNvPr id="143" name="Ink 142">
              <a:extLst>
                <a:ext uri="{FF2B5EF4-FFF2-40B4-BE49-F238E27FC236}">
                  <a16:creationId xmlns:a16="http://schemas.microsoft.com/office/drawing/2014/main" id="{FFDAFC27-3ADE-2110-9152-69ED3735A77D}"/>
                </a:ext>
              </a:extLst>
            </xdr14:cNvPr>
            <xdr14:cNvContentPartPr/>
          </xdr14:nvContentPartPr>
          <xdr14:nvPr macro=""/>
          <xdr14:xfrm>
            <a:off x="15001560" y="66600"/>
            <a:ext cx="720" cy="524520"/>
          </xdr14:xfrm>
        </xdr:contentPart>
      </mc:Choice>
      <mc:Fallback xmlns="">
        <xdr:pic>
          <xdr:nvPicPr>
            <xdr:cNvPr id="143" name="Ink 142">
              <a:extLst>
                <a:ext uri="{FF2B5EF4-FFF2-40B4-BE49-F238E27FC236}">
                  <a16:creationId xmlns:a16="http://schemas.microsoft.com/office/drawing/2014/main" id="{FFDAFC27-3ADE-2110-9152-69ED3735A77D}"/>
                </a:ext>
              </a:extLst>
            </xdr:cNvPr>
            <xdr:cNvPicPr/>
          </xdr:nvPicPr>
          <xdr:blipFill>
            <a:blip xmlns:r="http://schemas.openxmlformats.org/officeDocument/2006/relationships" r:embed="rId33"/>
            <a:stretch>
              <a:fillRect/>
            </a:stretch>
          </xdr:blipFill>
          <xdr:spPr>
            <a:xfrm>
              <a:off x="14989320" y="60480"/>
              <a:ext cx="25200" cy="536760"/>
            </a:xfrm>
            <a:prstGeom prst="rect">
              <a:avLst/>
            </a:prstGeom>
          </xdr:spPr>
        </xdr:pic>
      </mc:Fallback>
    </mc:AlternateContent>
    <xdr:clientData/>
  </xdr:twoCellAnchor>
  <xdr:twoCellAnchor editAs="oneCell">
    <xdr:from>
      <xdr:col>21</xdr:col>
      <xdr:colOff>427320</xdr:colOff>
      <xdr:row>2</xdr:row>
      <xdr:rowOff>180240</xdr:rowOff>
    </xdr:from>
    <xdr:to>
      <xdr:col>24</xdr:col>
      <xdr:colOff>371520</xdr:colOff>
      <xdr:row>2</xdr:row>
      <xdr:rowOff>180960</xdr:rowOff>
    </xdr:to>
    <mc:AlternateContent xmlns:mc="http://schemas.openxmlformats.org/markup-compatibility/2006" xmlns:xdr14="http://schemas.microsoft.com/office/excel/2010/spreadsheetDrawing">
      <mc:Choice Requires="xdr14">
        <xdr:contentPart xmlns:r="http://schemas.openxmlformats.org/officeDocument/2006/relationships" r:id="rId34">
          <xdr14:nvContentPartPr>
            <xdr14:cNvPr id="146" name="Ink 145">
              <a:extLst>
                <a:ext uri="{FF2B5EF4-FFF2-40B4-BE49-F238E27FC236}">
                  <a16:creationId xmlns:a16="http://schemas.microsoft.com/office/drawing/2014/main" id="{05019014-A7B9-EF73-5A72-849B80132C83}"/>
                </a:ext>
              </a:extLst>
            </xdr14:cNvPr>
            <xdr14:cNvContentPartPr/>
          </xdr14:nvContentPartPr>
          <xdr14:nvPr macro=""/>
          <xdr14:xfrm>
            <a:off x="13228920" y="561240"/>
            <a:ext cx="1773000" cy="720"/>
          </xdr14:xfrm>
        </xdr:contentPart>
      </mc:Choice>
      <mc:Fallback xmlns="">
        <xdr:pic>
          <xdr:nvPicPr>
            <xdr:cNvPr id="146" name="Ink 145">
              <a:extLst>
                <a:ext uri="{FF2B5EF4-FFF2-40B4-BE49-F238E27FC236}">
                  <a16:creationId xmlns:a16="http://schemas.microsoft.com/office/drawing/2014/main" id="{05019014-A7B9-EF73-5A72-849B80132C83}"/>
                </a:ext>
              </a:extLst>
            </xdr:cNvPr>
            <xdr:cNvPicPr/>
          </xdr:nvPicPr>
          <xdr:blipFill>
            <a:blip xmlns:r="http://schemas.openxmlformats.org/officeDocument/2006/relationships" r:embed="rId35"/>
            <a:stretch>
              <a:fillRect/>
            </a:stretch>
          </xdr:blipFill>
          <xdr:spPr>
            <a:xfrm>
              <a:off x="13222800" y="549000"/>
              <a:ext cx="1785240" cy="25200"/>
            </a:xfrm>
            <a:prstGeom prst="rect">
              <a:avLst/>
            </a:prstGeom>
          </xdr:spPr>
        </xdr:pic>
      </mc:Fallback>
    </mc:AlternateContent>
    <xdr:clientData/>
  </xdr:twoCellAnchor>
  <xdr:twoCellAnchor editAs="oneCell">
    <xdr:from>
      <xdr:col>21</xdr:col>
      <xdr:colOff>447480</xdr:colOff>
      <xdr:row>0</xdr:row>
      <xdr:rowOff>83160</xdr:rowOff>
    </xdr:from>
    <xdr:to>
      <xdr:col>24</xdr:col>
      <xdr:colOff>373320</xdr:colOff>
      <xdr:row>2</xdr:row>
      <xdr:rowOff>89520</xdr:rowOff>
    </xdr:to>
    <mc:AlternateContent xmlns:mc="http://schemas.openxmlformats.org/markup-compatibility/2006" xmlns:xdr14="http://schemas.microsoft.com/office/excel/2010/spreadsheetDrawing">
      <mc:Choice Requires="xdr14">
        <xdr:contentPart xmlns:r="http://schemas.openxmlformats.org/officeDocument/2006/relationships" r:id="rId36">
          <xdr14:nvContentPartPr>
            <xdr14:cNvPr id="188" name="Ink 187">
              <a:extLst>
                <a:ext uri="{FF2B5EF4-FFF2-40B4-BE49-F238E27FC236}">
                  <a16:creationId xmlns:a16="http://schemas.microsoft.com/office/drawing/2014/main" id="{36ED2B46-EB19-1CA4-A08C-A982A6949935}"/>
                </a:ext>
              </a:extLst>
            </xdr14:cNvPr>
            <xdr14:cNvContentPartPr/>
          </xdr14:nvContentPartPr>
          <xdr14:nvPr macro=""/>
          <xdr14:xfrm>
            <a:off x="13249080" y="83160"/>
            <a:ext cx="1754640" cy="387360"/>
          </xdr14:xfrm>
        </xdr:contentPart>
      </mc:Choice>
      <mc:Fallback xmlns="">
        <xdr:pic>
          <xdr:nvPicPr>
            <xdr:cNvPr id="188" name="Ink 187">
              <a:extLst>
                <a:ext uri="{FF2B5EF4-FFF2-40B4-BE49-F238E27FC236}">
                  <a16:creationId xmlns:a16="http://schemas.microsoft.com/office/drawing/2014/main" id="{36ED2B46-EB19-1CA4-A08C-A982A6949935}"/>
                </a:ext>
              </a:extLst>
            </xdr:cNvPr>
            <xdr:cNvPicPr/>
          </xdr:nvPicPr>
          <xdr:blipFill>
            <a:blip xmlns:r="http://schemas.openxmlformats.org/officeDocument/2006/relationships" r:embed="rId37"/>
            <a:stretch>
              <a:fillRect/>
            </a:stretch>
          </xdr:blipFill>
          <xdr:spPr>
            <a:xfrm>
              <a:off x="13242959" y="77040"/>
              <a:ext cx="1766883" cy="399600"/>
            </a:xfrm>
            <a:prstGeom prst="rect">
              <a:avLst/>
            </a:prstGeom>
          </xdr:spPr>
        </xdr:pic>
      </mc:Fallback>
    </mc:AlternateContent>
    <xdr:clientData/>
  </xdr:twoCellAnchor>
  <xdr:twoCellAnchor editAs="oneCell">
    <xdr:from>
      <xdr:col>21</xdr:col>
      <xdr:colOff>428400</xdr:colOff>
      <xdr:row>2</xdr:row>
      <xdr:rowOff>190320</xdr:rowOff>
    </xdr:from>
    <xdr:to>
      <xdr:col>21</xdr:col>
      <xdr:colOff>429120</xdr:colOff>
      <xdr:row>11</xdr:row>
      <xdr:rowOff>29220</xdr:rowOff>
    </xdr:to>
    <mc:AlternateContent xmlns:mc="http://schemas.openxmlformats.org/markup-compatibility/2006" xmlns:xdr14="http://schemas.microsoft.com/office/excel/2010/spreadsheetDrawing">
      <mc:Choice Requires="xdr14">
        <xdr:contentPart xmlns:r="http://schemas.openxmlformats.org/officeDocument/2006/relationships" r:id="rId38">
          <xdr14:nvContentPartPr>
            <xdr14:cNvPr id="192" name="Ink 191">
              <a:extLst>
                <a:ext uri="{FF2B5EF4-FFF2-40B4-BE49-F238E27FC236}">
                  <a16:creationId xmlns:a16="http://schemas.microsoft.com/office/drawing/2014/main" id="{B1719483-7987-FC45-B4EB-4F4ECF9EAB43}"/>
                </a:ext>
              </a:extLst>
            </xdr14:cNvPr>
            <xdr14:cNvContentPartPr/>
          </xdr14:nvContentPartPr>
          <xdr14:nvPr macro=""/>
          <xdr14:xfrm>
            <a:off x="13230000" y="571320"/>
            <a:ext cx="720" cy="1553400"/>
          </xdr14:xfrm>
        </xdr:contentPart>
      </mc:Choice>
      <mc:Fallback xmlns="">
        <xdr:pic>
          <xdr:nvPicPr>
            <xdr:cNvPr id="192" name="Ink 191">
              <a:extLst>
                <a:ext uri="{FF2B5EF4-FFF2-40B4-BE49-F238E27FC236}">
                  <a16:creationId xmlns:a16="http://schemas.microsoft.com/office/drawing/2014/main" id="{B1719483-7987-FC45-B4EB-4F4ECF9EAB43}"/>
                </a:ext>
              </a:extLst>
            </xdr:cNvPr>
            <xdr:cNvPicPr/>
          </xdr:nvPicPr>
          <xdr:blipFill>
            <a:blip xmlns:r="http://schemas.openxmlformats.org/officeDocument/2006/relationships" r:embed="rId39"/>
            <a:stretch>
              <a:fillRect/>
            </a:stretch>
          </xdr:blipFill>
          <xdr:spPr>
            <a:xfrm>
              <a:off x="13217760" y="565200"/>
              <a:ext cx="25200" cy="1565640"/>
            </a:xfrm>
            <a:prstGeom prst="rect">
              <a:avLst/>
            </a:prstGeom>
          </xdr:spPr>
        </xdr:pic>
      </mc:Fallback>
    </mc:AlternateContent>
    <xdr:clientData/>
  </xdr:twoCellAnchor>
  <xdr:twoCellAnchor editAs="oneCell">
    <xdr:from>
      <xdr:col>21</xdr:col>
      <xdr:colOff>437760</xdr:colOff>
      <xdr:row>11</xdr:row>
      <xdr:rowOff>18780</xdr:rowOff>
    </xdr:from>
    <xdr:to>
      <xdr:col>24</xdr:col>
      <xdr:colOff>391320</xdr:colOff>
      <xdr:row>11</xdr:row>
      <xdr:rowOff>19500</xdr:rowOff>
    </xdr:to>
    <mc:AlternateContent xmlns:mc="http://schemas.openxmlformats.org/markup-compatibility/2006" xmlns:xdr14="http://schemas.microsoft.com/office/excel/2010/spreadsheetDrawing">
      <mc:Choice Requires="xdr14">
        <xdr:contentPart xmlns:r="http://schemas.openxmlformats.org/officeDocument/2006/relationships" r:id="rId40">
          <xdr14:nvContentPartPr>
            <xdr14:cNvPr id="201" name="Ink 200">
              <a:extLst>
                <a:ext uri="{FF2B5EF4-FFF2-40B4-BE49-F238E27FC236}">
                  <a16:creationId xmlns:a16="http://schemas.microsoft.com/office/drawing/2014/main" id="{C33F27F4-A7EA-6532-B845-9B468B6A865D}"/>
                </a:ext>
              </a:extLst>
            </xdr14:cNvPr>
            <xdr14:cNvContentPartPr/>
          </xdr14:nvContentPartPr>
          <xdr14:nvPr macro=""/>
          <xdr14:xfrm>
            <a:off x="13239360" y="2114280"/>
            <a:ext cx="1782360" cy="720"/>
          </xdr14:xfrm>
        </xdr:contentPart>
      </mc:Choice>
      <mc:Fallback xmlns="">
        <xdr:pic>
          <xdr:nvPicPr>
            <xdr:cNvPr id="201" name="Ink 200">
              <a:extLst>
                <a:ext uri="{FF2B5EF4-FFF2-40B4-BE49-F238E27FC236}">
                  <a16:creationId xmlns:a16="http://schemas.microsoft.com/office/drawing/2014/main" id="{C33F27F4-A7EA-6532-B845-9B468B6A865D}"/>
                </a:ext>
              </a:extLst>
            </xdr:cNvPr>
            <xdr:cNvPicPr/>
          </xdr:nvPicPr>
          <xdr:blipFill>
            <a:blip xmlns:r="http://schemas.openxmlformats.org/officeDocument/2006/relationships" r:embed="rId41"/>
            <a:stretch>
              <a:fillRect/>
            </a:stretch>
          </xdr:blipFill>
          <xdr:spPr>
            <a:xfrm>
              <a:off x="13233240" y="2102040"/>
              <a:ext cx="1794600" cy="25200"/>
            </a:xfrm>
            <a:prstGeom prst="rect">
              <a:avLst/>
            </a:prstGeom>
          </xdr:spPr>
        </xdr:pic>
      </mc:Fallback>
    </mc:AlternateContent>
    <xdr:clientData/>
  </xdr:twoCellAnchor>
  <xdr:twoCellAnchor editAs="oneCell">
    <xdr:from>
      <xdr:col>24</xdr:col>
      <xdr:colOff>361440</xdr:colOff>
      <xdr:row>3</xdr:row>
      <xdr:rowOff>28260</xdr:rowOff>
    </xdr:from>
    <xdr:to>
      <xdr:col>24</xdr:col>
      <xdr:colOff>362160</xdr:colOff>
      <xdr:row>11</xdr:row>
      <xdr:rowOff>10140</xdr:rowOff>
    </xdr:to>
    <mc:AlternateContent xmlns:mc="http://schemas.openxmlformats.org/markup-compatibility/2006" xmlns:xdr14="http://schemas.microsoft.com/office/excel/2010/spreadsheetDrawing">
      <mc:Choice Requires="xdr14">
        <xdr:contentPart xmlns:r="http://schemas.openxmlformats.org/officeDocument/2006/relationships" r:id="rId42">
          <xdr14:nvContentPartPr>
            <xdr14:cNvPr id="208" name="Ink 207">
              <a:extLst>
                <a:ext uri="{FF2B5EF4-FFF2-40B4-BE49-F238E27FC236}">
                  <a16:creationId xmlns:a16="http://schemas.microsoft.com/office/drawing/2014/main" id="{1CF66AF0-F8BF-8207-C356-5E4C463BEFE6}"/>
                </a:ext>
              </a:extLst>
            </xdr14:cNvPr>
            <xdr14:cNvContentPartPr/>
          </xdr14:nvContentPartPr>
          <xdr14:nvPr macro=""/>
          <xdr14:xfrm>
            <a:off x="14991840" y="599760"/>
            <a:ext cx="720" cy="1505880"/>
          </xdr14:xfrm>
        </xdr:contentPart>
      </mc:Choice>
      <mc:Fallback xmlns="">
        <xdr:pic>
          <xdr:nvPicPr>
            <xdr:cNvPr id="208" name="Ink 207">
              <a:extLst>
                <a:ext uri="{FF2B5EF4-FFF2-40B4-BE49-F238E27FC236}">
                  <a16:creationId xmlns:a16="http://schemas.microsoft.com/office/drawing/2014/main" id="{1CF66AF0-F8BF-8207-C356-5E4C463BEFE6}"/>
                </a:ext>
              </a:extLst>
            </xdr:cNvPr>
            <xdr:cNvPicPr/>
          </xdr:nvPicPr>
          <xdr:blipFill>
            <a:blip xmlns:r="http://schemas.openxmlformats.org/officeDocument/2006/relationships" r:embed="rId43"/>
            <a:stretch>
              <a:fillRect/>
            </a:stretch>
          </xdr:blipFill>
          <xdr:spPr>
            <a:xfrm>
              <a:off x="14979600" y="593640"/>
              <a:ext cx="25200" cy="1518120"/>
            </a:xfrm>
            <a:prstGeom prst="rect">
              <a:avLst/>
            </a:prstGeom>
          </xdr:spPr>
        </xdr:pic>
      </mc:Fallback>
    </mc:AlternateContent>
    <xdr:clientData/>
  </xdr:twoCellAnchor>
  <xdr:twoCellAnchor editAs="oneCell">
    <xdr:from>
      <xdr:col>21</xdr:col>
      <xdr:colOff>437760</xdr:colOff>
      <xdr:row>4</xdr:row>
      <xdr:rowOff>85440</xdr:rowOff>
    </xdr:from>
    <xdr:to>
      <xdr:col>21</xdr:col>
      <xdr:colOff>438120</xdr:colOff>
      <xdr:row>4</xdr:row>
      <xdr:rowOff>85800</xdr:rowOff>
    </xdr:to>
    <mc:AlternateContent xmlns:mc="http://schemas.openxmlformats.org/markup-compatibility/2006" xmlns:xdr14="http://schemas.microsoft.com/office/excel/2010/spreadsheetDrawing">
      <mc:Choice Requires="xdr14">
        <xdr:contentPart xmlns:r="http://schemas.openxmlformats.org/officeDocument/2006/relationships" r:id="rId44">
          <xdr14:nvContentPartPr>
            <xdr14:cNvPr id="213" name="Ink 212">
              <a:extLst>
                <a:ext uri="{FF2B5EF4-FFF2-40B4-BE49-F238E27FC236}">
                  <a16:creationId xmlns:a16="http://schemas.microsoft.com/office/drawing/2014/main" id="{6987B2AC-3DF9-AC9D-16B9-1CAB77B9740C}"/>
                </a:ext>
              </a:extLst>
            </xdr14:cNvPr>
            <xdr14:cNvContentPartPr/>
          </xdr14:nvContentPartPr>
          <xdr14:nvPr macro=""/>
          <xdr14:xfrm>
            <a:off x="13239360" y="847440"/>
            <a:ext cx="360" cy="360"/>
          </xdr14:xfrm>
        </xdr:contentPart>
      </mc:Choice>
      <mc:Fallback xmlns="">
        <xdr:pic>
          <xdr:nvPicPr>
            <xdr:cNvPr id="213" name="Ink 212">
              <a:extLst>
                <a:ext uri="{FF2B5EF4-FFF2-40B4-BE49-F238E27FC236}">
                  <a16:creationId xmlns:a16="http://schemas.microsoft.com/office/drawing/2014/main" id="{6987B2AC-3DF9-AC9D-16B9-1CAB77B9740C}"/>
                </a:ext>
              </a:extLst>
            </xdr:cNvPr>
            <xdr:cNvPicPr/>
          </xdr:nvPicPr>
          <xdr:blipFill>
            <a:blip xmlns:r="http://schemas.openxmlformats.org/officeDocument/2006/relationships" r:embed="rId28"/>
            <a:stretch>
              <a:fillRect/>
            </a:stretch>
          </xdr:blipFill>
          <xdr:spPr>
            <a:xfrm>
              <a:off x="13233240" y="841320"/>
              <a:ext cx="12600" cy="12600"/>
            </a:xfrm>
            <a:prstGeom prst="rect">
              <a:avLst/>
            </a:prstGeom>
          </xdr:spPr>
        </xdr:pic>
      </mc:Fallback>
    </mc:AlternateContent>
    <xdr:clientData/>
  </xdr:twoCellAnchor>
  <xdr:twoCellAnchor editAs="oneCell">
    <xdr:from>
      <xdr:col>21</xdr:col>
      <xdr:colOff>437760</xdr:colOff>
      <xdr:row>4</xdr:row>
      <xdr:rowOff>85440</xdr:rowOff>
    </xdr:from>
    <xdr:to>
      <xdr:col>24</xdr:col>
      <xdr:colOff>343440</xdr:colOff>
      <xdr:row>4</xdr:row>
      <xdr:rowOff>86160</xdr:rowOff>
    </xdr:to>
    <mc:AlternateContent xmlns:mc="http://schemas.openxmlformats.org/markup-compatibility/2006" xmlns:xdr14="http://schemas.microsoft.com/office/excel/2010/spreadsheetDrawing">
      <mc:Choice Requires="xdr14">
        <xdr:contentPart xmlns:r="http://schemas.openxmlformats.org/officeDocument/2006/relationships" r:id="rId45">
          <xdr14:nvContentPartPr>
            <xdr14:cNvPr id="215" name="Ink 214">
              <a:extLst>
                <a:ext uri="{FF2B5EF4-FFF2-40B4-BE49-F238E27FC236}">
                  <a16:creationId xmlns:a16="http://schemas.microsoft.com/office/drawing/2014/main" id="{0169074D-4BD8-674B-365B-388CC67EE48E}"/>
                </a:ext>
              </a:extLst>
            </xdr14:cNvPr>
            <xdr14:cNvContentPartPr/>
          </xdr14:nvContentPartPr>
          <xdr14:nvPr macro=""/>
          <xdr14:xfrm>
            <a:off x="13239360" y="847440"/>
            <a:ext cx="1734480" cy="720"/>
          </xdr14:xfrm>
        </xdr:contentPart>
      </mc:Choice>
      <mc:Fallback xmlns="">
        <xdr:pic>
          <xdr:nvPicPr>
            <xdr:cNvPr id="215" name="Ink 214">
              <a:extLst>
                <a:ext uri="{FF2B5EF4-FFF2-40B4-BE49-F238E27FC236}">
                  <a16:creationId xmlns:a16="http://schemas.microsoft.com/office/drawing/2014/main" id="{0169074D-4BD8-674B-365B-388CC67EE48E}"/>
                </a:ext>
              </a:extLst>
            </xdr:cNvPr>
            <xdr:cNvPicPr/>
          </xdr:nvPicPr>
          <xdr:blipFill>
            <a:blip xmlns:r="http://schemas.openxmlformats.org/officeDocument/2006/relationships" r:embed="rId46"/>
            <a:stretch>
              <a:fillRect/>
            </a:stretch>
          </xdr:blipFill>
          <xdr:spPr>
            <a:xfrm>
              <a:off x="13233240" y="835200"/>
              <a:ext cx="1746720" cy="25200"/>
            </a:xfrm>
            <a:prstGeom prst="rect">
              <a:avLst/>
            </a:prstGeom>
          </xdr:spPr>
        </xdr:pic>
      </mc:Fallback>
    </mc:AlternateContent>
    <xdr:clientData/>
  </xdr:twoCellAnchor>
  <xdr:twoCellAnchor editAs="oneCell">
    <xdr:from>
      <xdr:col>21</xdr:col>
      <xdr:colOff>437760</xdr:colOff>
      <xdr:row>5</xdr:row>
      <xdr:rowOff>171060</xdr:rowOff>
    </xdr:from>
    <xdr:to>
      <xdr:col>24</xdr:col>
      <xdr:colOff>353520</xdr:colOff>
      <xdr:row>5</xdr:row>
      <xdr:rowOff>171780</xdr:rowOff>
    </xdr:to>
    <mc:AlternateContent xmlns:mc="http://schemas.openxmlformats.org/markup-compatibility/2006" xmlns:xdr14="http://schemas.microsoft.com/office/excel/2010/spreadsheetDrawing">
      <mc:Choice Requires="xdr14">
        <xdr:contentPart xmlns:r="http://schemas.openxmlformats.org/officeDocument/2006/relationships" r:id="rId47">
          <xdr14:nvContentPartPr>
            <xdr14:cNvPr id="221" name="Ink 220">
              <a:extLst>
                <a:ext uri="{FF2B5EF4-FFF2-40B4-BE49-F238E27FC236}">
                  <a16:creationId xmlns:a16="http://schemas.microsoft.com/office/drawing/2014/main" id="{16CD3BDC-2063-25AB-FDD2-B257D8D92382}"/>
                </a:ext>
              </a:extLst>
            </xdr14:cNvPr>
            <xdr14:cNvContentPartPr/>
          </xdr14:nvContentPartPr>
          <xdr14:nvPr macro=""/>
          <xdr14:xfrm>
            <a:off x="13239360" y="1123560"/>
            <a:ext cx="1744560" cy="720"/>
          </xdr14:xfrm>
        </xdr:contentPart>
      </mc:Choice>
      <mc:Fallback xmlns="">
        <xdr:pic>
          <xdr:nvPicPr>
            <xdr:cNvPr id="221" name="Ink 220">
              <a:extLst>
                <a:ext uri="{FF2B5EF4-FFF2-40B4-BE49-F238E27FC236}">
                  <a16:creationId xmlns:a16="http://schemas.microsoft.com/office/drawing/2014/main" id="{16CD3BDC-2063-25AB-FDD2-B257D8D92382}"/>
                </a:ext>
              </a:extLst>
            </xdr:cNvPr>
            <xdr:cNvPicPr/>
          </xdr:nvPicPr>
          <xdr:blipFill>
            <a:blip xmlns:r="http://schemas.openxmlformats.org/officeDocument/2006/relationships" r:embed="rId48"/>
            <a:stretch>
              <a:fillRect/>
            </a:stretch>
          </xdr:blipFill>
          <xdr:spPr>
            <a:xfrm>
              <a:off x="13233240" y="1111320"/>
              <a:ext cx="1756800" cy="25200"/>
            </a:xfrm>
            <a:prstGeom prst="rect">
              <a:avLst/>
            </a:prstGeom>
          </xdr:spPr>
        </xdr:pic>
      </mc:Fallback>
    </mc:AlternateContent>
    <xdr:clientData/>
  </xdr:twoCellAnchor>
  <xdr:twoCellAnchor editAs="oneCell">
    <xdr:from>
      <xdr:col>21</xdr:col>
      <xdr:colOff>437760</xdr:colOff>
      <xdr:row>7</xdr:row>
      <xdr:rowOff>142500</xdr:rowOff>
    </xdr:from>
    <xdr:to>
      <xdr:col>24</xdr:col>
      <xdr:colOff>324360</xdr:colOff>
      <xdr:row>7</xdr:row>
      <xdr:rowOff>143220</xdr:rowOff>
    </xdr:to>
    <mc:AlternateContent xmlns:mc="http://schemas.openxmlformats.org/markup-compatibility/2006" xmlns:xdr14="http://schemas.microsoft.com/office/excel/2010/spreadsheetDrawing">
      <mc:Choice Requires="xdr14">
        <xdr:contentPart xmlns:r="http://schemas.openxmlformats.org/officeDocument/2006/relationships" r:id="rId49">
          <xdr14:nvContentPartPr>
            <xdr14:cNvPr id="223" name="Ink 222">
              <a:extLst>
                <a:ext uri="{FF2B5EF4-FFF2-40B4-BE49-F238E27FC236}">
                  <a16:creationId xmlns:a16="http://schemas.microsoft.com/office/drawing/2014/main" id="{B7123E9D-1A01-95E1-A59B-15C35420AF74}"/>
                </a:ext>
              </a:extLst>
            </xdr14:cNvPr>
            <xdr14:cNvContentPartPr/>
          </xdr14:nvContentPartPr>
          <xdr14:nvPr macro=""/>
          <xdr14:xfrm>
            <a:off x="13239360" y="1476000"/>
            <a:ext cx="1715400" cy="720"/>
          </xdr14:xfrm>
        </xdr:contentPart>
      </mc:Choice>
      <mc:Fallback xmlns="">
        <xdr:pic>
          <xdr:nvPicPr>
            <xdr:cNvPr id="223" name="Ink 222">
              <a:extLst>
                <a:ext uri="{FF2B5EF4-FFF2-40B4-BE49-F238E27FC236}">
                  <a16:creationId xmlns:a16="http://schemas.microsoft.com/office/drawing/2014/main" id="{B7123E9D-1A01-95E1-A59B-15C35420AF74}"/>
                </a:ext>
              </a:extLst>
            </xdr:cNvPr>
            <xdr:cNvPicPr/>
          </xdr:nvPicPr>
          <xdr:blipFill>
            <a:blip xmlns:r="http://schemas.openxmlformats.org/officeDocument/2006/relationships" r:embed="rId50"/>
            <a:stretch>
              <a:fillRect/>
            </a:stretch>
          </xdr:blipFill>
          <xdr:spPr>
            <a:xfrm>
              <a:off x="13233240" y="1463760"/>
              <a:ext cx="1727640" cy="25200"/>
            </a:xfrm>
            <a:prstGeom prst="rect">
              <a:avLst/>
            </a:prstGeom>
          </xdr:spPr>
        </xdr:pic>
      </mc:Fallback>
    </mc:AlternateContent>
    <xdr:clientData/>
  </xdr:twoCellAnchor>
  <xdr:twoCellAnchor editAs="oneCell">
    <xdr:from>
      <xdr:col>21</xdr:col>
      <xdr:colOff>437760</xdr:colOff>
      <xdr:row>9</xdr:row>
      <xdr:rowOff>9180</xdr:rowOff>
    </xdr:from>
    <xdr:to>
      <xdr:col>24</xdr:col>
      <xdr:colOff>314640</xdr:colOff>
      <xdr:row>9</xdr:row>
      <xdr:rowOff>9900</xdr:rowOff>
    </xdr:to>
    <mc:AlternateContent xmlns:mc="http://schemas.openxmlformats.org/markup-compatibility/2006" xmlns:xdr14="http://schemas.microsoft.com/office/excel/2010/spreadsheetDrawing">
      <mc:Choice Requires="xdr14">
        <xdr:contentPart xmlns:r="http://schemas.openxmlformats.org/officeDocument/2006/relationships" r:id="rId51">
          <xdr14:nvContentPartPr>
            <xdr14:cNvPr id="226" name="Ink 225">
              <a:extLst>
                <a:ext uri="{FF2B5EF4-FFF2-40B4-BE49-F238E27FC236}">
                  <a16:creationId xmlns:a16="http://schemas.microsoft.com/office/drawing/2014/main" id="{83F2DC15-5839-9300-74AB-1817395F660C}"/>
                </a:ext>
              </a:extLst>
            </xdr14:cNvPr>
            <xdr14:cNvContentPartPr/>
          </xdr14:nvContentPartPr>
          <xdr14:nvPr macro=""/>
          <xdr14:xfrm>
            <a:off x="13239360" y="1723680"/>
            <a:ext cx="1705680" cy="720"/>
          </xdr14:xfrm>
        </xdr:contentPart>
      </mc:Choice>
      <mc:Fallback xmlns="">
        <xdr:pic>
          <xdr:nvPicPr>
            <xdr:cNvPr id="226" name="Ink 225">
              <a:extLst>
                <a:ext uri="{FF2B5EF4-FFF2-40B4-BE49-F238E27FC236}">
                  <a16:creationId xmlns:a16="http://schemas.microsoft.com/office/drawing/2014/main" id="{83F2DC15-5839-9300-74AB-1817395F660C}"/>
                </a:ext>
              </a:extLst>
            </xdr:cNvPr>
            <xdr:cNvPicPr/>
          </xdr:nvPicPr>
          <xdr:blipFill>
            <a:blip xmlns:r="http://schemas.openxmlformats.org/officeDocument/2006/relationships" r:embed="rId52"/>
            <a:stretch>
              <a:fillRect/>
            </a:stretch>
          </xdr:blipFill>
          <xdr:spPr>
            <a:xfrm>
              <a:off x="13233240" y="1711440"/>
              <a:ext cx="1717920" cy="25200"/>
            </a:xfrm>
            <a:prstGeom prst="rect">
              <a:avLst/>
            </a:prstGeom>
          </xdr:spPr>
        </xdr:pic>
      </mc:Fallback>
    </mc:AlternateContent>
    <xdr:clientData/>
  </xdr:twoCellAnchor>
  <xdr:twoCellAnchor editAs="oneCell">
    <xdr:from>
      <xdr:col>21</xdr:col>
      <xdr:colOff>437760</xdr:colOff>
      <xdr:row>11</xdr:row>
      <xdr:rowOff>28500</xdr:rowOff>
    </xdr:from>
    <xdr:to>
      <xdr:col>21</xdr:col>
      <xdr:colOff>438480</xdr:colOff>
      <xdr:row>29</xdr:row>
      <xdr:rowOff>163500</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228" name="Ink 227">
              <a:extLst>
                <a:ext uri="{FF2B5EF4-FFF2-40B4-BE49-F238E27FC236}">
                  <a16:creationId xmlns:a16="http://schemas.microsoft.com/office/drawing/2014/main" id="{15864B8B-B51B-E0CB-B24B-74BEB10BDD5A}"/>
                </a:ext>
              </a:extLst>
            </xdr14:cNvPr>
            <xdr14:cNvContentPartPr/>
          </xdr14:nvContentPartPr>
          <xdr14:nvPr macro=""/>
          <xdr14:xfrm>
            <a:off x="13239360" y="2124000"/>
            <a:ext cx="720" cy="3564000"/>
          </xdr14:xfrm>
        </xdr:contentPart>
      </mc:Choice>
      <mc:Fallback xmlns="">
        <xdr:pic>
          <xdr:nvPicPr>
            <xdr:cNvPr id="228" name="Ink 227">
              <a:extLst>
                <a:ext uri="{FF2B5EF4-FFF2-40B4-BE49-F238E27FC236}">
                  <a16:creationId xmlns:a16="http://schemas.microsoft.com/office/drawing/2014/main" id="{15864B8B-B51B-E0CB-B24B-74BEB10BDD5A}"/>
                </a:ext>
              </a:extLst>
            </xdr:cNvPr>
            <xdr:cNvPicPr/>
          </xdr:nvPicPr>
          <xdr:blipFill>
            <a:blip xmlns:r="http://schemas.openxmlformats.org/officeDocument/2006/relationships" r:embed="rId54"/>
            <a:stretch>
              <a:fillRect/>
            </a:stretch>
          </xdr:blipFill>
          <xdr:spPr>
            <a:xfrm>
              <a:off x="13227120" y="2117880"/>
              <a:ext cx="25200" cy="3576240"/>
            </a:xfrm>
            <a:prstGeom prst="rect">
              <a:avLst/>
            </a:prstGeom>
          </xdr:spPr>
        </xdr:pic>
      </mc:Fallback>
    </mc:AlternateContent>
    <xdr:clientData/>
  </xdr:twoCellAnchor>
  <xdr:twoCellAnchor editAs="oneCell">
    <xdr:from>
      <xdr:col>21</xdr:col>
      <xdr:colOff>437760</xdr:colOff>
      <xdr:row>29</xdr:row>
      <xdr:rowOff>161700</xdr:rowOff>
    </xdr:from>
    <xdr:to>
      <xdr:col>24</xdr:col>
      <xdr:colOff>371880</xdr:colOff>
      <xdr:row>29</xdr:row>
      <xdr:rowOff>162420</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236" name="Ink 235">
              <a:extLst>
                <a:ext uri="{FF2B5EF4-FFF2-40B4-BE49-F238E27FC236}">
                  <a16:creationId xmlns:a16="http://schemas.microsoft.com/office/drawing/2014/main" id="{A888B565-C4E9-A150-AACE-2118FE01E9B4}"/>
                </a:ext>
              </a:extLst>
            </xdr14:cNvPr>
            <xdr14:cNvContentPartPr/>
          </xdr14:nvContentPartPr>
          <xdr14:nvPr macro=""/>
          <xdr14:xfrm>
            <a:off x="13239360" y="5686200"/>
            <a:ext cx="1762920" cy="720"/>
          </xdr14:xfrm>
        </xdr:contentPart>
      </mc:Choice>
      <mc:Fallback xmlns="">
        <xdr:pic>
          <xdr:nvPicPr>
            <xdr:cNvPr id="236" name="Ink 235">
              <a:extLst>
                <a:ext uri="{FF2B5EF4-FFF2-40B4-BE49-F238E27FC236}">
                  <a16:creationId xmlns:a16="http://schemas.microsoft.com/office/drawing/2014/main" id="{A888B565-C4E9-A150-AACE-2118FE01E9B4}"/>
                </a:ext>
              </a:extLst>
            </xdr:cNvPr>
            <xdr:cNvPicPr/>
          </xdr:nvPicPr>
          <xdr:blipFill>
            <a:blip xmlns:r="http://schemas.openxmlformats.org/officeDocument/2006/relationships" r:embed="rId56"/>
            <a:stretch>
              <a:fillRect/>
            </a:stretch>
          </xdr:blipFill>
          <xdr:spPr>
            <a:xfrm>
              <a:off x="13233240" y="5673960"/>
              <a:ext cx="1775160" cy="25200"/>
            </a:xfrm>
            <a:prstGeom prst="rect">
              <a:avLst/>
            </a:prstGeom>
          </xdr:spPr>
        </xdr:pic>
      </mc:Fallback>
    </mc:AlternateContent>
    <xdr:clientData/>
  </xdr:twoCellAnchor>
  <xdr:twoCellAnchor editAs="oneCell">
    <xdr:from>
      <xdr:col>24</xdr:col>
      <xdr:colOff>361440</xdr:colOff>
      <xdr:row>11</xdr:row>
      <xdr:rowOff>28500</xdr:rowOff>
    </xdr:from>
    <xdr:to>
      <xdr:col>24</xdr:col>
      <xdr:colOff>362160</xdr:colOff>
      <xdr:row>29</xdr:row>
      <xdr:rowOff>143340</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240" name="Ink 239">
              <a:extLst>
                <a:ext uri="{FF2B5EF4-FFF2-40B4-BE49-F238E27FC236}">
                  <a16:creationId xmlns:a16="http://schemas.microsoft.com/office/drawing/2014/main" id="{F243726F-122F-ACD6-7B2D-4DDF43EBE80A}"/>
                </a:ext>
              </a:extLst>
            </xdr14:cNvPr>
            <xdr14:cNvContentPartPr/>
          </xdr14:nvContentPartPr>
          <xdr14:nvPr macro=""/>
          <xdr14:xfrm>
            <a:off x="14991840" y="2124000"/>
            <a:ext cx="720" cy="3543840"/>
          </xdr14:xfrm>
        </xdr:contentPart>
      </mc:Choice>
      <mc:Fallback xmlns="">
        <xdr:pic>
          <xdr:nvPicPr>
            <xdr:cNvPr id="240" name="Ink 239">
              <a:extLst>
                <a:ext uri="{FF2B5EF4-FFF2-40B4-BE49-F238E27FC236}">
                  <a16:creationId xmlns:a16="http://schemas.microsoft.com/office/drawing/2014/main" id="{F243726F-122F-ACD6-7B2D-4DDF43EBE80A}"/>
                </a:ext>
              </a:extLst>
            </xdr:cNvPr>
            <xdr:cNvPicPr/>
          </xdr:nvPicPr>
          <xdr:blipFill>
            <a:blip xmlns:r="http://schemas.openxmlformats.org/officeDocument/2006/relationships" r:embed="rId58"/>
            <a:stretch>
              <a:fillRect/>
            </a:stretch>
          </xdr:blipFill>
          <xdr:spPr>
            <a:xfrm>
              <a:off x="14979600" y="2117880"/>
              <a:ext cx="25200" cy="3556080"/>
            </a:xfrm>
            <a:prstGeom prst="rect">
              <a:avLst/>
            </a:prstGeom>
          </xdr:spPr>
        </xdr:pic>
      </mc:Fallback>
    </mc:AlternateContent>
    <xdr:clientData/>
  </xdr:twoCellAnchor>
  <xdr:twoCellAnchor editAs="oneCell">
    <xdr:from>
      <xdr:col>21</xdr:col>
      <xdr:colOff>447480</xdr:colOff>
      <xdr:row>12</xdr:row>
      <xdr:rowOff>190440</xdr:rowOff>
    </xdr:from>
    <xdr:to>
      <xdr:col>24</xdr:col>
      <xdr:colOff>362160</xdr:colOff>
      <xdr:row>13</xdr:row>
      <xdr:rowOff>660</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245" name="Ink 244">
              <a:extLst>
                <a:ext uri="{FF2B5EF4-FFF2-40B4-BE49-F238E27FC236}">
                  <a16:creationId xmlns:a16="http://schemas.microsoft.com/office/drawing/2014/main" id="{FD9AD834-D909-6356-D8F1-F56CD3C2C101}"/>
                </a:ext>
              </a:extLst>
            </xdr14:cNvPr>
            <xdr14:cNvContentPartPr/>
          </xdr14:nvContentPartPr>
          <xdr14:nvPr macro=""/>
          <xdr14:xfrm>
            <a:off x="13249080" y="2476440"/>
            <a:ext cx="1743480" cy="720"/>
          </xdr14:xfrm>
        </xdr:contentPart>
      </mc:Choice>
      <mc:Fallback xmlns="">
        <xdr:pic>
          <xdr:nvPicPr>
            <xdr:cNvPr id="245" name="Ink 244">
              <a:extLst>
                <a:ext uri="{FF2B5EF4-FFF2-40B4-BE49-F238E27FC236}">
                  <a16:creationId xmlns:a16="http://schemas.microsoft.com/office/drawing/2014/main" id="{FD9AD834-D909-6356-D8F1-F56CD3C2C101}"/>
                </a:ext>
              </a:extLst>
            </xdr:cNvPr>
            <xdr:cNvPicPr/>
          </xdr:nvPicPr>
          <xdr:blipFill>
            <a:blip xmlns:r="http://schemas.openxmlformats.org/officeDocument/2006/relationships" r:embed="rId60"/>
            <a:stretch>
              <a:fillRect/>
            </a:stretch>
          </xdr:blipFill>
          <xdr:spPr>
            <a:xfrm>
              <a:off x="13242960" y="2464200"/>
              <a:ext cx="1755720" cy="25200"/>
            </a:xfrm>
            <a:prstGeom prst="rect">
              <a:avLst/>
            </a:prstGeom>
          </xdr:spPr>
        </xdr:pic>
      </mc:Fallback>
    </mc:AlternateContent>
    <xdr:clientData/>
  </xdr:twoCellAnchor>
  <xdr:twoCellAnchor editAs="oneCell">
    <xdr:from>
      <xdr:col>21</xdr:col>
      <xdr:colOff>447480</xdr:colOff>
      <xdr:row>15</xdr:row>
      <xdr:rowOff>47340</xdr:rowOff>
    </xdr:from>
    <xdr:to>
      <xdr:col>24</xdr:col>
      <xdr:colOff>324360</xdr:colOff>
      <xdr:row>15</xdr:row>
      <xdr:rowOff>48060</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250" name="Ink 249">
              <a:extLst>
                <a:ext uri="{FF2B5EF4-FFF2-40B4-BE49-F238E27FC236}">
                  <a16:creationId xmlns:a16="http://schemas.microsoft.com/office/drawing/2014/main" id="{15B780CD-F265-F72F-ECC7-3436AC8813B4}"/>
                </a:ext>
              </a:extLst>
            </xdr14:cNvPr>
            <xdr14:cNvContentPartPr/>
          </xdr14:nvContentPartPr>
          <xdr14:nvPr macro=""/>
          <xdr14:xfrm>
            <a:off x="13249080" y="2904840"/>
            <a:ext cx="1705680" cy="720"/>
          </xdr14:xfrm>
        </xdr:contentPart>
      </mc:Choice>
      <mc:Fallback xmlns="">
        <xdr:pic>
          <xdr:nvPicPr>
            <xdr:cNvPr id="250" name="Ink 249">
              <a:extLst>
                <a:ext uri="{FF2B5EF4-FFF2-40B4-BE49-F238E27FC236}">
                  <a16:creationId xmlns:a16="http://schemas.microsoft.com/office/drawing/2014/main" id="{15B780CD-F265-F72F-ECC7-3436AC8813B4}"/>
                </a:ext>
              </a:extLst>
            </xdr:cNvPr>
            <xdr:cNvPicPr/>
          </xdr:nvPicPr>
          <xdr:blipFill>
            <a:blip xmlns:r="http://schemas.openxmlformats.org/officeDocument/2006/relationships" r:embed="rId52"/>
            <a:stretch>
              <a:fillRect/>
            </a:stretch>
          </xdr:blipFill>
          <xdr:spPr>
            <a:xfrm>
              <a:off x="13242960" y="2892600"/>
              <a:ext cx="1717920" cy="25200"/>
            </a:xfrm>
            <a:prstGeom prst="rect">
              <a:avLst/>
            </a:prstGeom>
          </xdr:spPr>
        </xdr:pic>
      </mc:Fallback>
    </mc:AlternateContent>
    <xdr:clientData/>
  </xdr:twoCellAnchor>
  <xdr:twoCellAnchor editAs="oneCell">
    <xdr:from>
      <xdr:col>21</xdr:col>
      <xdr:colOff>447480</xdr:colOff>
      <xdr:row>17</xdr:row>
      <xdr:rowOff>47580</xdr:rowOff>
    </xdr:from>
    <xdr:to>
      <xdr:col>24</xdr:col>
      <xdr:colOff>315000</xdr:colOff>
      <xdr:row>17</xdr:row>
      <xdr:rowOff>48300</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253" name="Ink 252">
              <a:extLst>
                <a:ext uri="{FF2B5EF4-FFF2-40B4-BE49-F238E27FC236}">
                  <a16:creationId xmlns:a16="http://schemas.microsoft.com/office/drawing/2014/main" id="{2A36A004-30AA-A520-30F7-9226F121633C}"/>
                </a:ext>
              </a:extLst>
            </xdr14:cNvPr>
            <xdr14:cNvContentPartPr/>
          </xdr14:nvContentPartPr>
          <xdr14:nvPr macro=""/>
          <xdr14:xfrm>
            <a:off x="13249080" y="3286080"/>
            <a:ext cx="1696320" cy="720"/>
          </xdr14:xfrm>
        </xdr:contentPart>
      </mc:Choice>
      <mc:Fallback xmlns="">
        <xdr:pic>
          <xdr:nvPicPr>
            <xdr:cNvPr id="253" name="Ink 252">
              <a:extLst>
                <a:ext uri="{FF2B5EF4-FFF2-40B4-BE49-F238E27FC236}">
                  <a16:creationId xmlns:a16="http://schemas.microsoft.com/office/drawing/2014/main" id="{2A36A004-30AA-A520-30F7-9226F121633C}"/>
                </a:ext>
              </a:extLst>
            </xdr:cNvPr>
            <xdr:cNvPicPr/>
          </xdr:nvPicPr>
          <xdr:blipFill>
            <a:blip xmlns:r="http://schemas.openxmlformats.org/officeDocument/2006/relationships" r:embed="rId63"/>
            <a:stretch>
              <a:fillRect/>
            </a:stretch>
          </xdr:blipFill>
          <xdr:spPr>
            <a:xfrm>
              <a:off x="13242960" y="3273840"/>
              <a:ext cx="1708560" cy="25200"/>
            </a:xfrm>
            <a:prstGeom prst="rect">
              <a:avLst/>
            </a:prstGeom>
          </xdr:spPr>
        </xdr:pic>
      </mc:Fallback>
    </mc:AlternateContent>
    <xdr:clientData/>
  </xdr:twoCellAnchor>
  <xdr:twoCellAnchor editAs="oneCell">
    <xdr:from>
      <xdr:col>21</xdr:col>
      <xdr:colOff>437760</xdr:colOff>
      <xdr:row>19</xdr:row>
      <xdr:rowOff>28380</xdr:rowOff>
    </xdr:from>
    <xdr:to>
      <xdr:col>24</xdr:col>
      <xdr:colOff>335880</xdr:colOff>
      <xdr:row>19</xdr:row>
      <xdr:rowOff>29100</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255" name="Ink 254">
              <a:extLst>
                <a:ext uri="{FF2B5EF4-FFF2-40B4-BE49-F238E27FC236}">
                  <a16:creationId xmlns:a16="http://schemas.microsoft.com/office/drawing/2014/main" id="{C11B632C-1A36-9877-A133-292BB4768EBC}"/>
                </a:ext>
              </a:extLst>
            </xdr14:cNvPr>
            <xdr14:cNvContentPartPr/>
          </xdr14:nvContentPartPr>
          <xdr14:nvPr macro=""/>
          <xdr14:xfrm>
            <a:off x="13239360" y="3647880"/>
            <a:ext cx="1726920" cy="720"/>
          </xdr14:xfrm>
        </xdr:contentPart>
      </mc:Choice>
      <mc:Fallback xmlns="">
        <xdr:pic>
          <xdr:nvPicPr>
            <xdr:cNvPr id="255" name="Ink 254">
              <a:extLst>
                <a:ext uri="{FF2B5EF4-FFF2-40B4-BE49-F238E27FC236}">
                  <a16:creationId xmlns:a16="http://schemas.microsoft.com/office/drawing/2014/main" id="{C11B632C-1A36-9877-A133-292BB4768EBC}"/>
                </a:ext>
              </a:extLst>
            </xdr:cNvPr>
            <xdr:cNvPicPr/>
          </xdr:nvPicPr>
          <xdr:blipFill>
            <a:blip xmlns:r="http://schemas.openxmlformats.org/officeDocument/2006/relationships" r:embed="rId65"/>
            <a:stretch>
              <a:fillRect/>
            </a:stretch>
          </xdr:blipFill>
          <xdr:spPr>
            <a:xfrm>
              <a:off x="13233240" y="3635640"/>
              <a:ext cx="1739160" cy="25200"/>
            </a:xfrm>
            <a:prstGeom prst="rect">
              <a:avLst/>
            </a:prstGeom>
          </xdr:spPr>
        </xdr:pic>
      </mc:Fallback>
    </mc:AlternateContent>
    <xdr:clientData/>
  </xdr:twoCellAnchor>
  <xdr:twoCellAnchor editAs="oneCell">
    <xdr:from>
      <xdr:col>21</xdr:col>
      <xdr:colOff>437760</xdr:colOff>
      <xdr:row>20</xdr:row>
      <xdr:rowOff>171240</xdr:rowOff>
    </xdr:from>
    <xdr:to>
      <xdr:col>24</xdr:col>
      <xdr:colOff>362520</xdr:colOff>
      <xdr:row>20</xdr:row>
      <xdr:rowOff>171960</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259" name="Ink 258">
              <a:extLst>
                <a:ext uri="{FF2B5EF4-FFF2-40B4-BE49-F238E27FC236}">
                  <a16:creationId xmlns:a16="http://schemas.microsoft.com/office/drawing/2014/main" id="{6152D4B1-6524-FEFC-468C-9FD6B71EAB2D}"/>
                </a:ext>
              </a:extLst>
            </xdr14:cNvPr>
            <xdr14:cNvContentPartPr/>
          </xdr14:nvContentPartPr>
          <xdr14:nvPr macro=""/>
          <xdr14:xfrm>
            <a:off x="13239360" y="3981240"/>
            <a:ext cx="1753560" cy="720"/>
          </xdr14:xfrm>
        </xdr:contentPart>
      </mc:Choice>
      <mc:Fallback xmlns="">
        <xdr:pic>
          <xdr:nvPicPr>
            <xdr:cNvPr id="259" name="Ink 258">
              <a:extLst>
                <a:ext uri="{FF2B5EF4-FFF2-40B4-BE49-F238E27FC236}">
                  <a16:creationId xmlns:a16="http://schemas.microsoft.com/office/drawing/2014/main" id="{6152D4B1-6524-FEFC-468C-9FD6B71EAB2D}"/>
                </a:ext>
              </a:extLst>
            </xdr:cNvPr>
            <xdr:cNvPicPr/>
          </xdr:nvPicPr>
          <xdr:blipFill>
            <a:blip xmlns:r="http://schemas.openxmlformats.org/officeDocument/2006/relationships" r:embed="rId67"/>
            <a:stretch>
              <a:fillRect/>
            </a:stretch>
          </xdr:blipFill>
          <xdr:spPr>
            <a:xfrm>
              <a:off x="13233240" y="3969000"/>
              <a:ext cx="1765800" cy="25200"/>
            </a:xfrm>
            <a:prstGeom prst="rect">
              <a:avLst/>
            </a:prstGeom>
          </xdr:spPr>
        </xdr:pic>
      </mc:Fallback>
    </mc:AlternateContent>
    <xdr:clientData/>
  </xdr:twoCellAnchor>
  <xdr:twoCellAnchor editAs="oneCell">
    <xdr:from>
      <xdr:col>21</xdr:col>
      <xdr:colOff>447480</xdr:colOff>
      <xdr:row>22</xdr:row>
      <xdr:rowOff>171120</xdr:rowOff>
    </xdr:from>
    <xdr:to>
      <xdr:col>24</xdr:col>
      <xdr:colOff>343800</xdr:colOff>
      <xdr:row>22</xdr:row>
      <xdr:rowOff>171840</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261" name="Ink 260">
              <a:extLst>
                <a:ext uri="{FF2B5EF4-FFF2-40B4-BE49-F238E27FC236}">
                  <a16:creationId xmlns:a16="http://schemas.microsoft.com/office/drawing/2014/main" id="{FE8F7F27-878F-1FD1-E92A-CBC6B941277E}"/>
                </a:ext>
              </a:extLst>
            </xdr14:cNvPr>
            <xdr14:cNvContentPartPr/>
          </xdr14:nvContentPartPr>
          <xdr14:nvPr macro=""/>
          <xdr14:xfrm>
            <a:off x="13249080" y="4362120"/>
            <a:ext cx="1725120" cy="720"/>
          </xdr14:xfrm>
        </xdr:contentPart>
      </mc:Choice>
      <mc:Fallback xmlns="">
        <xdr:pic>
          <xdr:nvPicPr>
            <xdr:cNvPr id="261" name="Ink 260">
              <a:extLst>
                <a:ext uri="{FF2B5EF4-FFF2-40B4-BE49-F238E27FC236}">
                  <a16:creationId xmlns:a16="http://schemas.microsoft.com/office/drawing/2014/main" id="{FE8F7F27-878F-1FD1-E92A-CBC6B941277E}"/>
                </a:ext>
              </a:extLst>
            </xdr:cNvPr>
            <xdr:cNvPicPr/>
          </xdr:nvPicPr>
          <xdr:blipFill>
            <a:blip xmlns:r="http://schemas.openxmlformats.org/officeDocument/2006/relationships" r:embed="rId69"/>
            <a:stretch>
              <a:fillRect/>
            </a:stretch>
          </xdr:blipFill>
          <xdr:spPr>
            <a:xfrm>
              <a:off x="13242960" y="4349880"/>
              <a:ext cx="1737360" cy="25200"/>
            </a:xfrm>
            <a:prstGeom prst="rect">
              <a:avLst/>
            </a:prstGeom>
          </xdr:spPr>
        </xdr:pic>
      </mc:Fallback>
    </mc:AlternateContent>
    <xdr:clientData/>
  </xdr:twoCellAnchor>
  <xdr:twoCellAnchor editAs="oneCell">
    <xdr:from>
      <xdr:col>21</xdr:col>
      <xdr:colOff>437760</xdr:colOff>
      <xdr:row>25</xdr:row>
      <xdr:rowOff>9300</xdr:rowOff>
    </xdr:from>
    <xdr:to>
      <xdr:col>24</xdr:col>
      <xdr:colOff>363600</xdr:colOff>
      <xdr:row>25</xdr:row>
      <xdr:rowOff>10020</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265" name="Ink 264">
              <a:extLst>
                <a:ext uri="{FF2B5EF4-FFF2-40B4-BE49-F238E27FC236}">
                  <a16:creationId xmlns:a16="http://schemas.microsoft.com/office/drawing/2014/main" id="{FD79483E-4644-02E1-7985-456E267C87A7}"/>
                </a:ext>
              </a:extLst>
            </xdr14:cNvPr>
            <xdr14:cNvContentPartPr/>
          </xdr14:nvContentPartPr>
          <xdr14:nvPr macro=""/>
          <xdr14:xfrm>
            <a:off x="13239360" y="4771800"/>
            <a:ext cx="1754640" cy="720"/>
          </xdr14:xfrm>
        </xdr:contentPart>
      </mc:Choice>
      <mc:Fallback xmlns="">
        <xdr:pic>
          <xdr:nvPicPr>
            <xdr:cNvPr id="265" name="Ink 264">
              <a:extLst>
                <a:ext uri="{FF2B5EF4-FFF2-40B4-BE49-F238E27FC236}">
                  <a16:creationId xmlns:a16="http://schemas.microsoft.com/office/drawing/2014/main" id="{FD79483E-4644-02E1-7985-456E267C87A7}"/>
                </a:ext>
              </a:extLst>
            </xdr:cNvPr>
            <xdr:cNvPicPr/>
          </xdr:nvPicPr>
          <xdr:blipFill>
            <a:blip xmlns:r="http://schemas.openxmlformats.org/officeDocument/2006/relationships" r:embed="rId67"/>
            <a:stretch>
              <a:fillRect/>
            </a:stretch>
          </xdr:blipFill>
          <xdr:spPr>
            <a:xfrm>
              <a:off x="13233240" y="4759560"/>
              <a:ext cx="1766880" cy="25200"/>
            </a:xfrm>
            <a:prstGeom prst="rect">
              <a:avLst/>
            </a:prstGeom>
          </xdr:spPr>
        </xdr:pic>
      </mc:Fallback>
    </mc:AlternateContent>
    <xdr:clientData/>
  </xdr:twoCellAnchor>
  <xdr:twoCellAnchor editAs="oneCell">
    <xdr:from>
      <xdr:col>0</xdr:col>
      <xdr:colOff>28080</xdr:colOff>
      <xdr:row>0</xdr:row>
      <xdr:rowOff>37800</xdr:rowOff>
    </xdr:from>
    <xdr:to>
      <xdr:col>3</xdr:col>
      <xdr:colOff>219600</xdr:colOff>
      <xdr:row>0</xdr:row>
      <xdr:rowOff>38520</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267" name="Ink 266">
              <a:extLst>
                <a:ext uri="{FF2B5EF4-FFF2-40B4-BE49-F238E27FC236}">
                  <a16:creationId xmlns:a16="http://schemas.microsoft.com/office/drawing/2014/main" id="{4492CA1A-2355-A198-B9D6-563FD5AFDA92}"/>
                </a:ext>
              </a:extLst>
            </xdr14:cNvPr>
            <xdr14:cNvContentPartPr/>
          </xdr14:nvContentPartPr>
          <xdr14:nvPr macro=""/>
          <xdr14:xfrm>
            <a:off x="28080" y="37800"/>
            <a:ext cx="2020320" cy="720"/>
          </xdr14:xfrm>
        </xdr:contentPart>
      </mc:Choice>
      <mc:Fallback xmlns="">
        <xdr:pic>
          <xdr:nvPicPr>
            <xdr:cNvPr id="267" name="Ink 266">
              <a:extLst>
                <a:ext uri="{FF2B5EF4-FFF2-40B4-BE49-F238E27FC236}">
                  <a16:creationId xmlns:a16="http://schemas.microsoft.com/office/drawing/2014/main" id="{4492CA1A-2355-A198-B9D6-563FD5AFDA92}"/>
                </a:ext>
              </a:extLst>
            </xdr:cNvPr>
            <xdr:cNvPicPr/>
          </xdr:nvPicPr>
          <xdr:blipFill>
            <a:blip xmlns:r="http://schemas.openxmlformats.org/officeDocument/2006/relationships" r:embed="rId72"/>
            <a:stretch>
              <a:fillRect/>
            </a:stretch>
          </xdr:blipFill>
          <xdr:spPr>
            <a:xfrm>
              <a:off x="21960" y="25560"/>
              <a:ext cx="2032560" cy="25200"/>
            </a:xfrm>
            <a:prstGeom prst="rect">
              <a:avLst/>
            </a:prstGeom>
          </xdr:spPr>
        </xdr:pic>
      </mc:Fallback>
    </mc:AlternateContent>
    <xdr:clientData/>
  </xdr:twoCellAnchor>
  <xdr:twoCellAnchor editAs="oneCell">
    <xdr:from>
      <xdr:col>3</xdr:col>
      <xdr:colOff>218880</xdr:colOff>
      <xdr:row>3</xdr:row>
      <xdr:rowOff>9180</xdr:rowOff>
    </xdr:from>
    <xdr:to>
      <xdr:col>3</xdr:col>
      <xdr:colOff>219600</xdr:colOff>
      <xdr:row>12</xdr:row>
      <xdr:rowOff>38880</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271" name="Ink 270">
              <a:extLst>
                <a:ext uri="{FF2B5EF4-FFF2-40B4-BE49-F238E27FC236}">
                  <a16:creationId xmlns:a16="http://schemas.microsoft.com/office/drawing/2014/main" id="{B62C5F24-66D7-22D5-77BE-1E9FA2B9C10B}"/>
                </a:ext>
              </a:extLst>
            </xdr14:cNvPr>
            <xdr14:cNvContentPartPr/>
          </xdr14:nvContentPartPr>
          <xdr14:nvPr macro=""/>
          <xdr14:xfrm>
            <a:off x="2047680" y="580680"/>
            <a:ext cx="720" cy="1744200"/>
          </xdr14:xfrm>
        </xdr:contentPart>
      </mc:Choice>
      <mc:Fallback xmlns="">
        <xdr:pic>
          <xdr:nvPicPr>
            <xdr:cNvPr id="271" name="Ink 270">
              <a:extLst>
                <a:ext uri="{FF2B5EF4-FFF2-40B4-BE49-F238E27FC236}">
                  <a16:creationId xmlns:a16="http://schemas.microsoft.com/office/drawing/2014/main" id="{B62C5F24-66D7-22D5-77BE-1E9FA2B9C10B}"/>
                </a:ext>
              </a:extLst>
            </xdr:cNvPr>
            <xdr:cNvPicPr/>
          </xdr:nvPicPr>
          <xdr:blipFill>
            <a:blip xmlns:r="http://schemas.openxmlformats.org/officeDocument/2006/relationships" r:embed="rId74"/>
            <a:stretch>
              <a:fillRect/>
            </a:stretch>
          </xdr:blipFill>
          <xdr:spPr>
            <a:xfrm>
              <a:off x="2035440" y="574560"/>
              <a:ext cx="25200" cy="1756440"/>
            </a:xfrm>
            <a:prstGeom prst="rect">
              <a:avLst/>
            </a:prstGeom>
          </xdr:spPr>
        </xdr:pic>
      </mc:Fallback>
    </mc:AlternateContent>
    <xdr:clientData/>
  </xdr:twoCellAnchor>
  <xdr:twoCellAnchor editAs="oneCell">
    <xdr:from>
      <xdr:col>0</xdr:col>
      <xdr:colOff>8280</xdr:colOff>
      <xdr:row>12</xdr:row>
      <xdr:rowOff>28080</xdr:rowOff>
    </xdr:from>
    <xdr:to>
      <xdr:col>3</xdr:col>
      <xdr:colOff>228600</xdr:colOff>
      <xdr:row>12</xdr:row>
      <xdr:rowOff>28800</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276" name="Ink 275">
              <a:extLst>
                <a:ext uri="{FF2B5EF4-FFF2-40B4-BE49-F238E27FC236}">
                  <a16:creationId xmlns:a16="http://schemas.microsoft.com/office/drawing/2014/main" id="{D5A166DE-AAA0-4AE8-E7D2-289162D1D473}"/>
                </a:ext>
              </a:extLst>
            </xdr14:cNvPr>
            <xdr14:cNvContentPartPr/>
          </xdr14:nvContentPartPr>
          <xdr14:nvPr macro=""/>
          <xdr14:xfrm>
            <a:off x="8280" y="2314080"/>
            <a:ext cx="2049120" cy="720"/>
          </xdr14:xfrm>
        </xdr:contentPart>
      </mc:Choice>
      <mc:Fallback xmlns="">
        <xdr:pic>
          <xdr:nvPicPr>
            <xdr:cNvPr id="276" name="Ink 275">
              <a:extLst>
                <a:ext uri="{FF2B5EF4-FFF2-40B4-BE49-F238E27FC236}">
                  <a16:creationId xmlns:a16="http://schemas.microsoft.com/office/drawing/2014/main" id="{D5A166DE-AAA0-4AE8-E7D2-289162D1D473}"/>
                </a:ext>
              </a:extLst>
            </xdr:cNvPr>
            <xdr:cNvPicPr/>
          </xdr:nvPicPr>
          <xdr:blipFill>
            <a:blip xmlns:r="http://schemas.openxmlformats.org/officeDocument/2006/relationships" r:embed="rId76"/>
            <a:stretch>
              <a:fillRect/>
            </a:stretch>
          </xdr:blipFill>
          <xdr:spPr>
            <a:xfrm>
              <a:off x="2160" y="2301840"/>
              <a:ext cx="2061360" cy="25200"/>
            </a:xfrm>
            <a:prstGeom prst="rect">
              <a:avLst/>
            </a:prstGeom>
          </xdr:spPr>
        </xdr:pic>
      </mc:Fallback>
    </mc:AlternateContent>
    <xdr:clientData/>
  </xdr:twoCellAnchor>
  <xdr:twoCellAnchor editAs="oneCell">
    <xdr:from>
      <xdr:col>3</xdr:col>
      <xdr:colOff>218880</xdr:colOff>
      <xdr:row>12</xdr:row>
      <xdr:rowOff>28440</xdr:rowOff>
    </xdr:from>
    <xdr:to>
      <xdr:col>3</xdr:col>
      <xdr:colOff>219600</xdr:colOff>
      <xdr:row>22</xdr:row>
      <xdr:rowOff>38280</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282" name="Ink 281">
              <a:extLst>
                <a:ext uri="{FF2B5EF4-FFF2-40B4-BE49-F238E27FC236}">
                  <a16:creationId xmlns:a16="http://schemas.microsoft.com/office/drawing/2014/main" id="{E69126D2-717E-21F0-E52D-6D5B4A9F2E88}"/>
                </a:ext>
              </a:extLst>
            </xdr14:cNvPr>
            <xdr14:cNvContentPartPr/>
          </xdr14:nvContentPartPr>
          <xdr14:nvPr macro=""/>
          <xdr14:xfrm>
            <a:off x="2047680" y="2314440"/>
            <a:ext cx="720" cy="1914840"/>
          </xdr14:xfrm>
        </xdr:contentPart>
      </mc:Choice>
      <mc:Fallback xmlns="">
        <xdr:pic>
          <xdr:nvPicPr>
            <xdr:cNvPr id="282" name="Ink 281">
              <a:extLst>
                <a:ext uri="{FF2B5EF4-FFF2-40B4-BE49-F238E27FC236}">
                  <a16:creationId xmlns:a16="http://schemas.microsoft.com/office/drawing/2014/main" id="{E69126D2-717E-21F0-E52D-6D5B4A9F2E88}"/>
                </a:ext>
              </a:extLst>
            </xdr:cNvPr>
            <xdr:cNvPicPr/>
          </xdr:nvPicPr>
          <xdr:blipFill>
            <a:blip xmlns:r="http://schemas.openxmlformats.org/officeDocument/2006/relationships" r:embed="rId78"/>
            <a:stretch>
              <a:fillRect/>
            </a:stretch>
          </xdr:blipFill>
          <xdr:spPr>
            <a:xfrm>
              <a:off x="2035440" y="2308320"/>
              <a:ext cx="25200" cy="1927080"/>
            </a:xfrm>
            <a:prstGeom prst="rect">
              <a:avLst/>
            </a:prstGeom>
          </xdr:spPr>
        </xdr:pic>
      </mc:Fallback>
    </mc:AlternateContent>
    <xdr:clientData/>
  </xdr:twoCellAnchor>
  <xdr:twoCellAnchor editAs="oneCell">
    <xdr:from>
      <xdr:col>0</xdr:col>
      <xdr:colOff>18360</xdr:colOff>
      <xdr:row>22</xdr:row>
      <xdr:rowOff>37560</xdr:rowOff>
    </xdr:from>
    <xdr:to>
      <xdr:col>3</xdr:col>
      <xdr:colOff>219240</xdr:colOff>
      <xdr:row>22</xdr:row>
      <xdr:rowOff>38280</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286" name="Ink 285">
              <a:extLst>
                <a:ext uri="{FF2B5EF4-FFF2-40B4-BE49-F238E27FC236}">
                  <a16:creationId xmlns:a16="http://schemas.microsoft.com/office/drawing/2014/main" id="{B44C71E4-4F56-D639-DD60-B8BB37C5D25E}"/>
                </a:ext>
              </a:extLst>
            </xdr14:cNvPr>
            <xdr14:cNvContentPartPr/>
          </xdr14:nvContentPartPr>
          <xdr14:nvPr macro=""/>
          <xdr14:xfrm>
            <a:off x="18360" y="4228560"/>
            <a:ext cx="2029680" cy="720"/>
          </xdr14:xfrm>
        </xdr:contentPart>
      </mc:Choice>
      <mc:Fallback xmlns="">
        <xdr:pic>
          <xdr:nvPicPr>
            <xdr:cNvPr id="286" name="Ink 285">
              <a:extLst>
                <a:ext uri="{FF2B5EF4-FFF2-40B4-BE49-F238E27FC236}">
                  <a16:creationId xmlns:a16="http://schemas.microsoft.com/office/drawing/2014/main" id="{B44C71E4-4F56-D639-DD60-B8BB37C5D25E}"/>
                </a:ext>
              </a:extLst>
            </xdr:cNvPr>
            <xdr:cNvPicPr/>
          </xdr:nvPicPr>
          <xdr:blipFill>
            <a:blip xmlns:r="http://schemas.openxmlformats.org/officeDocument/2006/relationships" r:embed="rId80"/>
            <a:stretch>
              <a:fillRect/>
            </a:stretch>
          </xdr:blipFill>
          <xdr:spPr>
            <a:xfrm>
              <a:off x="12240" y="4216320"/>
              <a:ext cx="2041920" cy="25200"/>
            </a:xfrm>
            <a:prstGeom prst="rect">
              <a:avLst/>
            </a:prstGeom>
          </xdr:spPr>
        </xdr:pic>
      </mc:Fallback>
    </mc:AlternateContent>
    <xdr:clientData/>
  </xdr:twoCellAnchor>
  <xdr:twoCellAnchor editAs="oneCell">
    <xdr:from>
      <xdr:col>3</xdr:col>
      <xdr:colOff>218880</xdr:colOff>
      <xdr:row>22</xdr:row>
      <xdr:rowOff>37920</xdr:rowOff>
    </xdr:from>
    <xdr:to>
      <xdr:col>3</xdr:col>
      <xdr:colOff>219600</xdr:colOff>
      <xdr:row>29</xdr:row>
      <xdr:rowOff>153060</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288" name="Ink 287">
              <a:extLst>
                <a:ext uri="{FF2B5EF4-FFF2-40B4-BE49-F238E27FC236}">
                  <a16:creationId xmlns:a16="http://schemas.microsoft.com/office/drawing/2014/main" id="{D0782D6D-70BB-3FC4-9F91-1598B6E85DAB}"/>
                </a:ext>
              </a:extLst>
            </xdr14:cNvPr>
            <xdr14:cNvContentPartPr/>
          </xdr14:nvContentPartPr>
          <xdr14:nvPr macro=""/>
          <xdr14:xfrm>
            <a:off x="2047680" y="4228920"/>
            <a:ext cx="720" cy="1448640"/>
          </xdr14:xfrm>
        </xdr:contentPart>
      </mc:Choice>
      <mc:Fallback xmlns="">
        <xdr:pic>
          <xdr:nvPicPr>
            <xdr:cNvPr id="288" name="Ink 287">
              <a:extLst>
                <a:ext uri="{FF2B5EF4-FFF2-40B4-BE49-F238E27FC236}">
                  <a16:creationId xmlns:a16="http://schemas.microsoft.com/office/drawing/2014/main" id="{D0782D6D-70BB-3FC4-9F91-1598B6E85DAB}"/>
                </a:ext>
              </a:extLst>
            </xdr:cNvPr>
            <xdr:cNvPicPr/>
          </xdr:nvPicPr>
          <xdr:blipFill>
            <a:blip xmlns:r="http://schemas.openxmlformats.org/officeDocument/2006/relationships" r:embed="rId82"/>
            <a:stretch>
              <a:fillRect/>
            </a:stretch>
          </xdr:blipFill>
          <xdr:spPr>
            <a:xfrm>
              <a:off x="2035440" y="4222800"/>
              <a:ext cx="25200" cy="1460880"/>
            </a:xfrm>
            <a:prstGeom prst="rect">
              <a:avLst/>
            </a:prstGeom>
          </xdr:spPr>
        </xdr:pic>
      </mc:Fallback>
    </mc:AlternateContent>
    <xdr:clientData/>
  </xdr:twoCellAnchor>
  <xdr:twoCellAnchor editAs="oneCell">
    <xdr:from>
      <xdr:col>0</xdr:col>
      <xdr:colOff>27360</xdr:colOff>
      <xdr:row>29</xdr:row>
      <xdr:rowOff>142260</xdr:rowOff>
    </xdr:from>
    <xdr:to>
      <xdr:col>3</xdr:col>
      <xdr:colOff>219240</xdr:colOff>
      <xdr:row>29</xdr:row>
      <xdr:rowOff>142980</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290" name="Ink 289">
              <a:extLst>
                <a:ext uri="{FF2B5EF4-FFF2-40B4-BE49-F238E27FC236}">
                  <a16:creationId xmlns:a16="http://schemas.microsoft.com/office/drawing/2014/main" id="{84DA2956-3384-3148-DB8B-43A85D717601}"/>
                </a:ext>
              </a:extLst>
            </xdr14:cNvPr>
            <xdr14:cNvContentPartPr/>
          </xdr14:nvContentPartPr>
          <xdr14:nvPr macro=""/>
          <xdr14:xfrm>
            <a:off x="27360" y="5666760"/>
            <a:ext cx="2020680" cy="720"/>
          </xdr14:xfrm>
        </xdr:contentPart>
      </mc:Choice>
      <mc:Fallback xmlns="">
        <xdr:pic>
          <xdr:nvPicPr>
            <xdr:cNvPr id="290" name="Ink 289">
              <a:extLst>
                <a:ext uri="{FF2B5EF4-FFF2-40B4-BE49-F238E27FC236}">
                  <a16:creationId xmlns:a16="http://schemas.microsoft.com/office/drawing/2014/main" id="{84DA2956-3384-3148-DB8B-43A85D717601}"/>
                </a:ext>
              </a:extLst>
            </xdr:cNvPr>
            <xdr:cNvPicPr/>
          </xdr:nvPicPr>
          <xdr:blipFill>
            <a:blip xmlns:r="http://schemas.openxmlformats.org/officeDocument/2006/relationships" r:embed="rId84"/>
            <a:stretch>
              <a:fillRect/>
            </a:stretch>
          </xdr:blipFill>
          <xdr:spPr>
            <a:xfrm>
              <a:off x="21240" y="5654520"/>
              <a:ext cx="2032920" cy="25200"/>
            </a:xfrm>
            <a:prstGeom prst="rect">
              <a:avLst/>
            </a:prstGeom>
          </xdr:spPr>
        </xdr:pic>
      </mc:Fallback>
    </mc:AlternateContent>
    <xdr:clientData/>
  </xdr:twoCellAnchor>
  <xdr:twoCellAnchor editAs="oneCell">
    <xdr:from>
      <xdr:col>3</xdr:col>
      <xdr:colOff>285480</xdr:colOff>
      <xdr:row>3</xdr:row>
      <xdr:rowOff>57060</xdr:rowOff>
    </xdr:from>
    <xdr:to>
      <xdr:col>8</xdr:col>
      <xdr:colOff>325560</xdr:colOff>
      <xdr:row>3</xdr:row>
      <xdr:rowOff>57780</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295" name="Ink 294">
              <a:extLst>
                <a:ext uri="{FF2B5EF4-FFF2-40B4-BE49-F238E27FC236}">
                  <a16:creationId xmlns:a16="http://schemas.microsoft.com/office/drawing/2014/main" id="{520FB923-00F5-5116-D1EB-FB364AAFBD9B}"/>
                </a:ext>
              </a:extLst>
            </xdr14:cNvPr>
            <xdr14:cNvContentPartPr/>
          </xdr14:nvContentPartPr>
          <xdr14:nvPr macro=""/>
          <xdr14:xfrm>
            <a:off x="2114280" y="628560"/>
            <a:ext cx="3088080" cy="720"/>
          </xdr14:xfrm>
        </xdr:contentPart>
      </mc:Choice>
      <mc:Fallback xmlns="">
        <xdr:pic>
          <xdr:nvPicPr>
            <xdr:cNvPr id="295" name="Ink 294">
              <a:extLst>
                <a:ext uri="{FF2B5EF4-FFF2-40B4-BE49-F238E27FC236}">
                  <a16:creationId xmlns:a16="http://schemas.microsoft.com/office/drawing/2014/main" id="{520FB923-00F5-5116-D1EB-FB364AAFBD9B}"/>
                </a:ext>
              </a:extLst>
            </xdr:cNvPr>
            <xdr:cNvPicPr/>
          </xdr:nvPicPr>
          <xdr:blipFill>
            <a:blip xmlns:r="http://schemas.openxmlformats.org/officeDocument/2006/relationships" r:embed="rId86"/>
            <a:stretch>
              <a:fillRect/>
            </a:stretch>
          </xdr:blipFill>
          <xdr:spPr>
            <a:xfrm>
              <a:off x="2108160" y="616320"/>
              <a:ext cx="3100320" cy="25200"/>
            </a:xfrm>
            <a:prstGeom prst="rect">
              <a:avLst/>
            </a:prstGeom>
          </xdr:spPr>
        </xdr:pic>
      </mc:Fallback>
    </mc:AlternateContent>
    <xdr:clientData/>
  </xdr:twoCellAnchor>
  <xdr:twoCellAnchor editAs="oneCell">
    <xdr:from>
      <xdr:col>8</xdr:col>
      <xdr:colOff>323400</xdr:colOff>
      <xdr:row>3</xdr:row>
      <xdr:rowOff>76140</xdr:rowOff>
    </xdr:from>
    <xdr:to>
      <xdr:col>8</xdr:col>
      <xdr:colOff>324120</xdr:colOff>
      <xdr:row>11</xdr:row>
      <xdr:rowOff>76740</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297" name="Ink 296">
              <a:extLst>
                <a:ext uri="{FF2B5EF4-FFF2-40B4-BE49-F238E27FC236}">
                  <a16:creationId xmlns:a16="http://schemas.microsoft.com/office/drawing/2014/main" id="{FC9CEB8F-E4EB-9767-C02B-8C6514981DBF}"/>
                </a:ext>
              </a:extLst>
            </xdr14:cNvPr>
            <xdr14:cNvContentPartPr/>
          </xdr14:nvContentPartPr>
          <xdr14:nvPr macro=""/>
          <xdr14:xfrm>
            <a:off x="5200200" y="647640"/>
            <a:ext cx="720" cy="1524600"/>
          </xdr14:xfrm>
        </xdr:contentPart>
      </mc:Choice>
      <mc:Fallback xmlns="">
        <xdr:pic>
          <xdr:nvPicPr>
            <xdr:cNvPr id="297" name="Ink 296">
              <a:extLst>
                <a:ext uri="{FF2B5EF4-FFF2-40B4-BE49-F238E27FC236}">
                  <a16:creationId xmlns:a16="http://schemas.microsoft.com/office/drawing/2014/main" id="{FC9CEB8F-E4EB-9767-C02B-8C6514981DBF}"/>
                </a:ext>
              </a:extLst>
            </xdr:cNvPr>
            <xdr:cNvPicPr/>
          </xdr:nvPicPr>
          <xdr:blipFill>
            <a:blip xmlns:r="http://schemas.openxmlformats.org/officeDocument/2006/relationships" r:embed="rId88"/>
            <a:stretch>
              <a:fillRect/>
            </a:stretch>
          </xdr:blipFill>
          <xdr:spPr>
            <a:xfrm>
              <a:off x="5187960" y="641520"/>
              <a:ext cx="25200" cy="1536840"/>
            </a:xfrm>
            <a:prstGeom prst="rect">
              <a:avLst/>
            </a:prstGeom>
          </xdr:spPr>
        </xdr:pic>
      </mc:Fallback>
    </mc:AlternateContent>
    <xdr:clientData/>
  </xdr:twoCellAnchor>
  <xdr:twoCellAnchor editAs="oneCell">
    <xdr:from>
      <xdr:col>3</xdr:col>
      <xdr:colOff>294120</xdr:colOff>
      <xdr:row>11</xdr:row>
      <xdr:rowOff>85020</xdr:rowOff>
    </xdr:from>
    <xdr:to>
      <xdr:col>8</xdr:col>
      <xdr:colOff>323400</xdr:colOff>
      <xdr:row>11</xdr:row>
      <xdr:rowOff>85740</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302" name="Ink 301">
              <a:extLst>
                <a:ext uri="{FF2B5EF4-FFF2-40B4-BE49-F238E27FC236}">
                  <a16:creationId xmlns:a16="http://schemas.microsoft.com/office/drawing/2014/main" id="{05479478-5537-7681-06AC-3FB01DD3A172}"/>
                </a:ext>
              </a:extLst>
            </xdr14:cNvPr>
            <xdr14:cNvContentPartPr/>
          </xdr14:nvContentPartPr>
          <xdr14:nvPr macro=""/>
          <xdr14:xfrm>
            <a:off x="2122920" y="2180520"/>
            <a:ext cx="3077280" cy="720"/>
          </xdr14:xfrm>
        </xdr:contentPart>
      </mc:Choice>
      <mc:Fallback xmlns="">
        <xdr:pic>
          <xdr:nvPicPr>
            <xdr:cNvPr id="302" name="Ink 301">
              <a:extLst>
                <a:ext uri="{FF2B5EF4-FFF2-40B4-BE49-F238E27FC236}">
                  <a16:creationId xmlns:a16="http://schemas.microsoft.com/office/drawing/2014/main" id="{05479478-5537-7681-06AC-3FB01DD3A172}"/>
                </a:ext>
              </a:extLst>
            </xdr:cNvPr>
            <xdr:cNvPicPr/>
          </xdr:nvPicPr>
          <xdr:blipFill>
            <a:blip xmlns:r="http://schemas.openxmlformats.org/officeDocument/2006/relationships" r:embed="rId90"/>
            <a:stretch>
              <a:fillRect/>
            </a:stretch>
          </xdr:blipFill>
          <xdr:spPr>
            <a:xfrm>
              <a:off x="2116800" y="2168280"/>
              <a:ext cx="3089520" cy="25200"/>
            </a:xfrm>
            <a:prstGeom prst="rect">
              <a:avLst/>
            </a:prstGeom>
          </xdr:spPr>
        </xdr:pic>
      </mc:Fallback>
    </mc:AlternateContent>
    <xdr:clientData/>
  </xdr:twoCellAnchor>
  <xdr:twoCellAnchor editAs="oneCell">
    <xdr:from>
      <xdr:col>3</xdr:col>
      <xdr:colOff>294840</xdr:colOff>
      <xdr:row>3</xdr:row>
      <xdr:rowOff>57060</xdr:rowOff>
    </xdr:from>
    <xdr:to>
      <xdr:col>3</xdr:col>
      <xdr:colOff>295560</xdr:colOff>
      <xdr:row>11</xdr:row>
      <xdr:rowOff>114540</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305" name="Ink 304">
              <a:extLst>
                <a:ext uri="{FF2B5EF4-FFF2-40B4-BE49-F238E27FC236}">
                  <a16:creationId xmlns:a16="http://schemas.microsoft.com/office/drawing/2014/main" id="{3716432B-EA0B-6AB1-1E82-D3E7320705EA}"/>
                </a:ext>
              </a:extLst>
            </xdr14:cNvPr>
            <xdr14:cNvContentPartPr/>
          </xdr14:nvContentPartPr>
          <xdr14:nvPr macro=""/>
          <xdr14:xfrm>
            <a:off x="2123640" y="628560"/>
            <a:ext cx="720" cy="1581480"/>
          </xdr14:xfrm>
        </xdr:contentPart>
      </mc:Choice>
      <mc:Fallback xmlns="">
        <xdr:pic>
          <xdr:nvPicPr>
            <xdr:cNvPr id="305" name="Ink 304">
              <a:extLst>
                <a:ext uri="{FF2B5EF4-FFF2-40B4-BE49-F238E27FC236}">
                  <a16:creationId xmlns:a16="http://schemas.microsoft.com/office/drawing/2014/main" id="{3716432B-EA0B-6AB1-1E82-D3E7320705EA}"/>
                </a:ext>
              </a:extLst>
            </xdr:cNvPr>
            <xdr:cNvPicPr/>
          </xdr:nvPicPr>
          <xdr:blipFill>
            <a:blip xmlns:r="http://schemas.openxmlformats.org/officeDocument/2006/relationships" r:embed="rId92"/>
            <a:stretch>
              <a:fillRect/>
            </a:stretch>
          </xdr:blipFill>
          <xdr:spPr>
            <a:xfrm>
              <a:off x="2111400" y="622440"/>
              <a:ext cx="25200" cy="1593720"/>
            </a:xfrm>
            <a:prstGeom prst="rect">
              <a:avLst/>
            </a:prstGeom>
          </xdr:spPr>
        </xdr:pic>
      </mc:Fallback>
    </mc:AlternateContent>
    <xdr:clientData/>
  </xdr:twoCellAnchor>
  <xdr:twoCellAnchor editAs="oneCell">
    <xdr:from>
      <xdr:col>8</xdr:col>
      <xdr:colOff>447240</xdr:colOff>
      <xdr:row>3</xdr:row>
      <xdr:rowOff>76140</xdr:rowOff>
    </xdr:from>
    <xdr:to>
      <xdr:col>16</xdr:col>
      <xdr:colOff>315600</xdr:colOff>
      <xdr:row>3</xdr:row>
      <xdr:rowOff>76860</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312" name="Ink 311">
              <a:extLst>
                <a:ext uri="{FF2B5EF4-FFF2-40B4-BE49-F238E27FC236}">
                  <a16:creationId xmlns:a16="http://schemas.microsoft.com/office/drawing/2014/main" id="{3ED0A61D-1484-152A-383A-FF750501AA34}"/>
                </a:ext>
              </a:extLst>
            </xdr14:cNvPr>
            <xdr14:cNvContentPartPr/>
          </xdr14:nvContentPartPr>
          <xdr14:nvPr macro=""/>
          <xdr14:xfrm>
            <a:off x="5324040" y="647640"/>
            <a:ext cx="4745160" cy="720"/>
          </xdr14:xfrm>
        </xdr:contentPart>
      </mc:Choice>
      <mc:Fallback xmlns="">
        <xdr:pic>
          <xdr:nvPicPr>
            <xdr:cNvPr id="312" name="Ink 311">
              <a:extLst>
                <a:ext uri="{FF2B5EF4-FFF2-40B4-BE49-F238E27FC236}">
                  <a16:creationId xmlns:a16="http://schemas.microsoft.com/office/drawing/2014/main" id="{3ED0A61D-1484-152A-383A-FF750501AA34}"/>
                </a:ext>
              </a:extLst>
            </xdr:cNvPr>
            <xdr:cNvPicPr/>
          </xdr:nvPicPr>
          <xdr:blipFill>
            <a:blip xmlns:r="http://schemas.openxmlformats.org/officeDocument/2006/relationships" r:embed="rId94"/>
            <a:stretch>
              <a:fillRect/>
            </a:stretch>
          </xdr:blipFill>
          <xdr:spPr>
            <a:xfrm>
              <a:off x="5317920" y="635400"/>
              <a:ext cx="4757400" cy="25200"/>
            </a:xfrm>
            <a:prstGeom prst="rect">
              <a:avLst/>
            </a:prstGeom>
          </xdr:spPr>
        </xdr:pic>
      </mc:Fallback>
    </mc:AlternateContent>
    <xdr:clientData/>
  </xdr:twoCellAnchor>
  <xdr:twoCellAnchor editAs="oneCell">
    <xdr:from>
      <xdr:col>16</xdr:col>
      <xdr:colOff>304440</xdr:colOff>
      <xdr:row>3</xdr:row>
      <xdr:rowOff>76140</xdr:rowOff>
    </xdr:from>
    <xdr:to>
      <xdr:col>16</xdr:col>
      <xdr:colOff>305160</xdr:colOff>
      <xdr:row>12</xdr:row>
      <xdr:rowOff>57960</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318" name="Ink 317">
              <a:extLst>
                <a:ext uri="{FF2B5EF4-FFF2-40B4-BE49-F238E27FC236}">
                  <a16:creationId xmlns:a16="http://schemas.microsoft.com/office/drawing/2014/main" id="{BF149BB2-D91C-DA96-C35F-ADCF88CFF8D7}"/>
                </a:ext>
              </a:extLst>
            </xdr14:cNvPr>
            <xdr14:cNvContentPartPr/>
          </xdr14:nvContentPartPr>
          <xdr14:nvPr macro=""/>
          <xdr14:xfrm>
            <a:off x="10058040" y="647640"/>
            <a:ext cx="720" cy="1696320"/>
          </xdr14:xfrm>
        </xdr:contentPart>
      </mc:Choice>
      <mc:Fallback xmlns="">
        <xdr:pic>
          <xdr:nvPicPr>
            <xdr:cNvPr id="318" name="Ink 317">
              <a:extLst>
                <a:ext uri="{FF2B5EF4-FFF2-40B4-BE49-F238E27FC236}">
                  <a16:creationId xmlns:a16="http://schemas.microsoft.com/office/drawing/2014/main" id="{BF149BB2-D91C-DA96-C35F-ADCF88CFF8D7}"/>
                </a:ext>
              </a:extLst>
            </xdr:cNvPr>
            <xdr:cNvPicPr/>
          </xdr:nvPicPr>
          <xdr:blipFill>
            <a:blip xmlns:r="http://schemas.openxmlformats.org/officeDocument/2006/relationships" r:embed="rId96"/>
            <a:stretch>
              <a:fillRect/>
            </a:stretch>
          </xdr:blipFill>
          <xdr:spPr>
            <a:xfrm>
              <a:off x="10045800" y="641520"/>
              <a:ext cx="25200" cy="1708560"/>
            </a:xfrm>
            <a:prstGeom prst="rect">
              <a:avLst/>
            </a:prstGeom>
          </xdr:spPr>
        </xdr:pic>
      </mc:Fallback>
    </mc:AlternateContent>
    <xdr:clientData/>
  </xdr:twoCellAnchor>
  <xdr:twoCellAnchor editAs="oneCell">
    <xdr:from>
      <xdr:col>8</xdr:col>
      <xdr:colOff>454440</xdr:colOff>
      <xdr:row>12</xdr:row>
      <xdr:rowOff>66240</xdr:rowOff>
    </xdr:from>
    <xdr:to>
      <xdr:col>16</xdr:col>
      <xdr:colOff>304440</xdr:colOff>
      <xdr:row>12</xdr:row>
      <xdr:rowOff>66960</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320" name="Ink 319">
              <a:extLst>
                <a:ext uri="{FF2B5EF4-FFF2-40B4-BE49-F238E27FC236}">
                  <a16:creationId xmlns:a16="http://schemas.microsoft.com/office/drawing/2014/main" id="{515EE3A8-99D4-BEA2-B9B7-C9BEBE193A71}"/>
                </a:ext>
              </a:extLst>
            </xdr14:cNvPr>
            <xdr14:cNvContentPartPr/>
          </xdr14:nvContentPartPr>
          <xdr14:nvPr macro=""/>
          <xdr14:xfrm>
            <a:off x="5331240" y="2352240"/>
            <a:ext cx="4726800" cy="720"/>
          </xdr14:xfrm>
        </xdr:contentPart>
      </mc:Choice>
      <mc:Fallback xmlns="">
        <xdr:pic>
          <xdr:nvPicPr>
            <xdr:cNvPr id="320" name="Ink 319">
              <a:extLst>
                <a:ext uri="{FF2B5EF4-FFF2-40B4-BE49-F238E27FC236}">
                  <a16:creationId xmlns:a16="http://schemas.microsoft.com/office/drawing/2014/main" id="{515EE3A8-99D4-BEA2-B9B7-C9BEBE193A71}"/>
                </a:ext>
              </a:extLst>
            </xdr:cNvPr>
            <xdr:cNvPicPr/>
          </xdr:nvPicPr>
          <xdr:blipFill>
            <a:blip xmlns:r="http://schemas.openxmlformats.org/officeDocument/2006/relationships" r:embed="rId98"/>
            <a:stretch>
              <a:fillRect/>
            </a:stretch>
          </xdr:blipFill>
          <xdr:spPr>
            <a:xfrm>
              <a:off x="5325120" y="2340000"/>
              <a:ext cx="4739040" cy="25200"/>
            </a:xfrm>
            <a:prstGeom prst="rect">
              <a:avLst/>
            </a:prstGeom>
          </xdr:spPr>
        </xdr:pic>
      </mc:Fallback>
    </mc:AlternateContent>
    <xdr:clientData/>
  </xdr:twoCellAnchor>
  <xdr:twoCellAnchor editAs="oneCell">
    <xdr:from>
      <xdr:col>8</xdr:col>
      <xdr:colOff>447240</xdr:colOff>
      <xdr:row>3</xdr:row>
      <xdr:rowOff>76140</xdr:rowOff>
    </xdr:from>
    <xdr:to>
      <xdr:col>8</xdr:col>
      <xdr:colOff>447960</xdr:colOff>
      <xdr:row>12</xdr:row>
      <xdr:rowOff>105120</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322" name="Ink 321">
              <a:extLst>
                <a:ext uri="{FF2B5EF4-FFF2-40B4-BE49-F238E27FC236}">
                  <a16:creationId xmlns:a16="http://schemas.microsoft.com/office/drawing/2014/main" id="{49AB98D5-BAE6-25F0-41E8-4962450EF22A}"/>
                </a:ext>
              </a:extLst>
            </xdr14:cNvPr>
            <xdr14:cNvContentPartPr/>
          </xdr14:nvContentPartPr>
          <xdr14:nvPr macro=""/>
          <xdr14:xfrm>
            <a:off x="5324040" y="647640"/>
            <a:ext cx="720" cy="1743480"/>
          </xdr14:xfrm>
        </xdr:contentPart>
      </mc:Choice>
      <mc:Fallback xmlns="">
        <xdr:pic>
          <xdr:nvPicPr>
            <xdr:cNvPr id="322" name="Ink 321">
              <a:extLst>
                <a:ext uri="{FF2B5EF4-FFF2-40B4-BE49-F238E27FC236}">
                  <a16:creationId xmlns:a16="http://schemas.microsoft.com/office/drawing/2014/main" id="{49AB98D5-BAE6-25F0-41E8-4962450EF22A}"/>
                </a:ext>
              </a:extLst>
            </xdr:cNvPr>
            <xdr:cNvPicPr/>
          </xdr:nvPicPr>
          <xdr:blipFill>
            <a:blip xmlns:r="http://schemas.openxmlformats.org/officeDocument/2006/relationships" r:embed="rId100"/>
            <a:stretch>
              <a:fillRect/>
            </a:stretch>
          </xdr:blipFill>
          <xdr:spPr>
            <a:xfrm>
              <a:off x="5311800" y="641520"/>
              <a:ext cx="25200" cy="1755720"/>
            </a:xfrm>
            <a:prstGeom prst="rect">
              <a:avLst/>
            </a:prstGeom>
          </xdr:spPr>
        </xdr:pic>
      </mc:Fallback>
    </mc:AlternateContent>
    <xdr:clientData/>
  </xdr:twoCellAnchor>
  <xdr:twoCellAnchor editAs="oneCell">
    <xdr:from>
      <xdr:col>16</xdr:col>
      <xdr:colOff>390120</xdr:colOff>
      <xdr:row>3</xdr:row>
      <xdr:rowOff>85500</xdr:rowOff>
    </xdr:from>
    <xdr:to>
      <xdr:col>21</xdr:col>
      <xdr:colOff>381960</xdr:colOff>
      <xdr:row>3</xdr:row>
      <xdr:rowOff>86220</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326" name="Ink 325">
              <a:extLst>
                <a:ext uri="{FF2B5EF4-FFF2-40B4-BE49-F238E27FC236}">
                  <a16:creationId xmlns:a16="http://schemas.microsoft.com/office/drawing/2014/main" id="{0C7FF72A-66FC-3432-853B-5036991B436A}"/>
                </a:ext>
              </a:extLst>
            </xdr14:cNvPr>
            <xdr14:cNvContentPartPr/>
          </xdr14:nvContentPartPr>
          <xdr14:nvPr macro=""/>
          <xdr14:xfrm>
            <a:off x="10143720" y="657000"/>
            <a:ext cx="3039840" cy="720"/>
          </xdr14:xfrm>
        </xdr:contentPart>
      </mc:Choice>
      <mc:Fallback xmlns="">
        <xdr:pic>
          <xdr:nvPicPr>
            <xdr:cNvPr id="326" name="Ink 325">
              <a:extLst>
                <a:ext uri="{FF2B5EF4-FFF2-40B4-BE49-F238E27FC236}">
                  <a16:creationId xmlns:a16="http://schemas.microsoft.com/office/drawing/2014/main" id="{0C7FF72A-66FC-3432-853B-5036991B436A}"/>
                </a:ext>
              </a:extLst>
            </xdr:cNvPr>
            <xdr:cNvPicPr/>
          </xdr:nvPicPr>
          <xdr:blipFill>
            <a:blip xmlns:r="http://schemas.openxmlformats.org/officeDocument/2006/relationships" r:embed="rId102"/>
            <a:stretch>
              <a:fillRect/>
            </a:stretch>
          </xdr:blipFill>
          <xdr:spPr>
            <a:xfrm>
              <a:off x="10137600" y="644760"/>
              <a:ext cx="3052080" cy="25200"/>
            </a:xfrm>
            <a:prstGeom prst="rect">
              <a:avLst/>
            </a:prstGeom>
          </xdr:spPr>
        </xdr:pic>
      </mc:Fallback>
    </mc:AlternateContent>
    <xdr:clientData/>
  </xdr:twoCellAnchor>
  <xdr:twoCellAnchor editAs="oneCell">
    <xdr:from>
      <xdr:col>21</xdr:col>
      <xdr:colOff>361440</xdr:colOff>
      <xdr:row>3</xdr:row>
      <xdr:rowOff>104580</xdr:rowOff>
    </xdr:from>
    <xdr:to>
      <xdr:col>21</xdr:col>
      <xdr:colOff>361800</xdr:colOff>
      <xdr:row>3</xdr:row>
      <xdr:rowOff>104940</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328" name="Ink 327">
              <a:extLst>
                <a:ext uri="{FF2B5EF4-FFF2-40B4-BE49-F238E27FC236}">
                  <a16:creationId xmlns:a16="http://schemas.microsoft.com/office/drawing/2014/main" id="{AC170F20-97D7-9C1D-A7CF-A5DF1194460A}"/>
                </a:ext>
              </a:extLst>
            </xdr14:cNvPr>
            <xdr14:cNvContentPartPr/>
          </xdr14:nvContentPartPr>
          <xdr14:nvPr macro=""/>
          <xdr14:xfrm>
            <a:off x="13163040" y="676080"/>
            <a:ext cx="360" cy="360"/>
          </xdr14:xfrm>
        </xdr:contentPart>
      </mc:Choice>
      <mc:Fallback xmlns="">
        <xdr:pic>
          <xdr:nvPicPr>
            <xdr:cNvPr id="328" name="Ink 327">
              <a:extLst>
                <a:ext uri="{FF2B5EF4-FFF2-40B4-BE49-F238E27FC236}">
                  <a16:creationId xmlns:a16="http://schemas.microsoft.com/office/drawing/2014/main" id="{AC170F20-97D7-9C1D-A7CF-A5DF1194460A}"/>
                </a:ext>
              </a:extLst>
            </xdr:cNvPr>
            <xdr:cNvPicPr/>
          </xdr:nvPicPr>
          <xdr:blipFill>
            <a:blip xmlns:r="http://schemas.openxmlformats.org/officeDocument/2006/relationships" r:embed="rId28"/>
            <a:stretch>
              <a:fillRect/>
            </a:stretch>
          </xdr:blipFill>
          <xdr:spPr>
            <a:xfrm>
              <a:off x="13156920" y="669960"/>
              <a:ext cx="12600" cy="12600"/>
            </a:xfrm>
            <a:prstGeom prst="rect">
              <a:avLst/>
            </a:prstGeom>
          </xdr:spPr>
        </xdr:pic>
      </mc:Fallback>
    </mc:AlternateContent>
    <xdr:clientData/>
  </xdr:twoCellAnchor>
  <xdr:twoCellAnchor editAs="oneCell">
    <xdr:from>
      <xdr:col>21</xdr:col>
      <xdr:colOff>371160</xdr:colOff>
      <xdr:row>3</xdr:row>
      <xdr:rowOff>94860</xdr:rowOff>
    </xdr:from>
    <xdr:to>
      <xdr:col>21</xdr:col>
      <xdr:colOff>371880</xdr:colOff>
      <xdr:row>12</xdr:row>
      <xdr:rowOff>67320</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331" name="Ink 330">
              <a:extLst>
                <a:ext uri="{FF2B5EF4-FFF2-40B4-BE49-F238E27FC236}">
                  <a16:creationId xmlns:a16="http://schemas.microsoft.com/office/drawing/2014/main" id="{B6A271E7-CA3A-8B31-3D0C-AE8BE5356D8B}"/>
                </a:ext>
              </a:extLst>
            </xdr14:cNvPr>
            <xdr14:cNvContentPartPr/>
          </xdr14:nvContentPartPr>
          <xdr14:nvPr macro=""/>
          <xdr14:xfrm>
            <a:off x="13172760" y="666360"/>
            <a:ext cx="720" cy="1686960"/>
          </xdr14:xfrm>
        </xdr:contentPart>
      </mc:Choice>
      <mc:Fallback xmlns="">
        <xdr:pic>
          <xdr:nvPicPr>
            <xdr:cNvPr id="331" name="Ink 330">
              <a:extLst>
                <a:ext uri="{FF2B5EF4-FFF2-40B4-BE49-F238E27FC236}">
                  <a16:creationId xmlns:a16="http://schemas.microsoft.com/office/drawing/2014/main" id="{B6A271E7-CA3A-8B31-3D0C-AE8BE5356D8B}"/>
                </a:ext>
              </a:extLst>
            </xdr:cNvPr>
            <xdr:cNvPicPr/>
          </xdr:nvPicPr>
          <xdr:blipFill>
            <a:blip xmlns:r="http://schemas.openxmlformats.org/officeDocument/2006/relationships" r:embed="rId105"/>
            <a:stretch>
              <a:fillRect/>
            </a:stretch>
          </xdr:blipFill>
          <xdr:spPr>
            <a:xfrm>
              <a:off x="13160520" y="660240"/>
              <a:ext cx="25200" cy="1699200"/>
            </a:xfrm>
            <a:prstGeom prst="rect">
              <a:avLst/>
            </a:prstGeom>
          </xdr:spPr>
        </xdr:pic>
      </mc:Fallback>
    </mc:AlternateContent>
    <xdr:clientData/>
  </xdr:twoCellAnchor>
  <xdr:twoCellAnchor editAs="oneCell">
    <xdr:from>
      <xdr:col>16</xdr:col>
      <xdr:colOff>389400</xdr:colOff>
      <xdr:row>12</xdr:row>
      <xdr:rowOff>75600</xdr:rowOff>
    </xdr:from>
    <xdr:to>
      <xdr:col>21</xdr:col>
      <xdr:colOff>371520</xdr:colOff>
      <xdr:row>12</xdr:row>
      <xdr:rowOff>76320</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335" name="Ink 334">
              <a:extLst>
                <a:ext uri="{FF2B5EF4-FFF2-40B4-BE49-F238E27FC236}">
                  <a16:creationId xmlns:a16="http://schemas.microsoft.com/office/drawing/2014/main" id="{1479ED12-8412-8375-9DD2-5F8F56E5F59B}"/>
                </a:ext>
              </a:extLst>
            </xdr14:cNvPr>
            <xdr14:cNvContentPartPr/>
          </xdr14:nvContentPartPr>
          <xdr14:nvPr macro=""/>
          <xdr14:xfrm>
            <a:off x="10143000" y="2361600"/>
            <a:ext cx="3030120" cy="720"/>
          </xdr14:xfrm>
        </xdr:contentPart>
      </mc:Choice>
      <mc:Fallback xmlns="">
        <xdr:pic>
          <xdr:nvPicPr>
            <xdr:cNvPr id="335" name="Ink 334">
              <a:extLst>
                <a:ext uri="{FF2B5EF4-FFF2-40B4-BE49-F238E27FC236}">
                  <a16:creationId xmlns:a16="http://schemas.microsoft.com/office/drawing/2014/main" id="{1479ED12-8412-8375-9DD2-5F8F56E5F59B}"/>
                </a:ext>
              </a:extLst>
            </xdr:cNvPr>
            <xdr:cNvPicPr/>
          </xdr:nvPicPr>
          <xdr:blipFill>
            <a:blip xmlns:r="http://schemas.openxmlformats.org/officeDocument/2006/relationships" r:embed="rId107"/>
            <a:stretch>
              <a:fillRect/>
            </a:stretch>
          </xdr:blipFill>
          <xdr:spPr>
            <a:xfrm>
              <a:off x="10136880" y="2349360"/>
              <a:ext cx="3042360" cy="25200"/>
            </a:xfrm>
            <a:prstGeom prst="rect">
              <a:avLst/>
            </a:prstGeom>
          </xdr:spPr>
        </xdr:pic>
      </mc:Fallback>
    </mc:AlternateContent>
    <xdr:clientData/>
  </xdr:twoCellAnchor>
  <xdr:twoCellAnchor editAs="oneCell">
    <xdr:from>
      <xdr:col>16</xdr:col>
      <xdr:colOff>399840</xdr:colOff>
      <xdr:row>3</xdr:row>
      <xdr:rowOff>76140</xdr:rowOff>
    </xdr:from>
    <xdr:to>
      <xdr:col>16</xdr:col>
      <xdr:colOff>400560</xdr:colOff>
      <xdr:row>12</xdr:row>
      <xdr:rowOff>47880</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337" name="Ink 336">
              <a:extLst>
                <a:ext uri="{FF2B5EF4-FFF2-40B4-BE49-F238E27FC236}">
                  <a16:creationId xmlns:a16="http://schemas.microsoft.com/office/drawing/2014/main" id="{5B9215BB-732A-4CAD-F1FB-7F775C0158B8}"/>
                </a:ext>
              </a:extLst>
            </xdr14:cNvPr>
            <xdr14:cNvContentPartPr/>
          </xdr14:nvContentPartPr>
          <xdr14:nvPr macro=""/>
          <xdr14:xfrm>
            <a:off x="10153440" y="647640"/>
            <a:ext cx="720" cy="1686240"/>
          </xdr14:xfrm>
        </xdr:contentPart>
      </mc:Choice>
      <mc:Fallback xmlns="">
        <xdr:pic>
          <xdr:nvPicPr>
            <xdr:cNvPr id="337" name="Ink 336">
              <a:extLst>
                <a:ext uri="{FF2B5EF4-FFF2-40B4-BE49-F238E27FC236}">
                  <a16:creationId xmlns:a16="http://schemas.microsoft.com/office/drawing/2014/main" id="{5B9215BB-732A-4CAD-F1FB-7F775C0158B8}"/>
                </a:ext>
              </a:extLst>
            </xdr:cNvPr>
            <xdr:cNvPicPr/>
          </xdr:nvPicPr>
          <xdr:blipFill>
            <a:blip xmlns:r="http://schemas.openxmlformats.org/officeDocument/2006/relationships" r:embed="rId109"/>
            <a:stretch>
              <a:fillRect/>
            </a:stretch>
          </xdr:blipFill>
          <xdr:spPr>
            <a:xfrm>
              <a:off x="10141200" y="641520"/>
              <a:ext cx="25200" cy="1698480"/>
            </a:xfrm>
            <a:prstGeom prst="rect">
              <a:avLst/>
            </a:prstGeom>
          </xdr:spPr>
        </xdr:pic>
      </mc:Fallback>
    </mc:AlternateContent>
    <xdr:clientData/>
  </xdr:twoCellAnchor>
  <xdr:twoCellAnchor editAs="oneCell">
    <xdr:from>
      <xdr:col>3</xdr:col>
      <xdr:colOff>313920</xdr:colOff>
      <xdr:row>13</xdr:row>
      <xdr:rowOff>37740</xdr:rowOff>
    </xdr:from>
    <xdr:to>
      <xdr:col>9</xdr:col>
      <xdr:colOff>297720</xdr:colOff>
      <xdr:row>13</xdr:row>
      <xdr:rowOff>38460</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340" name="Ink 339">
              <a:extLst>
                <a:ext uri="{FF2B5EF4-FFF2-40B4-BE49-F238E27FC236}">
                  <a16:creationId xmlns:a16="http://schemas.microsoft.com/office/drawing/2014/main" id="{6547FE21-A480-115A-650B-67BC7073FBE9}"/>
                </a:ext>
              </a:extLst>
            </xdr14:cNvPr>
            <xdr14:cNvContentPartPr/>
          </xdr14:nvContentPartPr>
          <xdr14:nvPr macro=""/>
          <xdr14:xfrm>
            <a:off x="2142720" y="2514240"/>
            <a:ext cx="3641400" cy="720"/>
          </xdr14:xfrm>
        </xdr:contentPart>
      </mc:Choice>
      <mc:Fallback xmlns="">
        <xdr:pic>
          <xdr:nvPicPr>
            <xdr:cNvPr id="340" name="Ink 339">
              <a:extLst>
                <a:ext uri="{FF2B5EF4-FFF2-40B4-BE49-F238E27FC236}">
                  <a16:creationId xmlns:a16="http://schemas.microsoft.com/office/drawing/2014/main" id="{6547FE21-A480-115A-650B-67BC7073FBE9}"/>
                </a:ext>
              </a:extLst>
            </xdr:cNvPr>
            <xdr:cNvPicPr/>
          </xdr:nvPicPr>
          <xdr:blipFill>
            <a:blip xmlns:r="http://schemas.openxmlformats.org/officeDocument/2006/relationships" r:embed="rId111"/>
            <a:stretch>
              <a:fillRect/>
            </a:stretch>
          </xdr:blipFill>
          <xdr:spPr>
            <a:xfrm>
              <a:off x="2136600" y="2502000"/>
              <a:ext cx="3653640" cy="25200"/>
            </a:xfrm>
            <a:prstGeom prst="rect">
              <a:avLst/>
            </a:prstGeom>
          </xdr:spPr>
        </xdr:pic>
      </mc:Fallback>
    </mc:AlternateContent>
    <xdr:clientData/>
  </xdr:twoCellAnchor>
  <xdr:twoCellAnchor editAs="oneCell">
    <xdr:from>
      <xdr:col>9</xdr:col>
      <xdr:colOff>294840</xdr:colOff>
      <xdr:row>13</xdr:row>
      <xdr:rowOff>47460</xdr:rowOff>
    </xdr:from>
    <xdr:to>
      <xdr:col>9</xdr:col>
      <xdr:colOff>295560</xdr:colOff>
      <xdr:row>20</xdr:row>
      <xdr:rowOff>85920</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342" name="Ink 341">
              <a:extLst>
                <a:ext uri="{FF2B5EF4-FFF2-40B4-BE49-F238E27FC236}">
                  <a16:creationId xmlns:a16="http://schemas.microsoft.com/office/drawing/2014/main" id="{CBCE7964-2AEE-F77B-0B45-276E1F3870A7}"/>
                </a:ext>
              </a:extLst>
            </xdr14:cNvPr>
            <xdr14:cNvContentPartPr/>
          </xdr14:nvContentPartPr>
          <xdr14:nvPr macro=""/>
          <xdr14:xfrm>
            <a:off x="5781240" y="2523960"/>
            <a:ext cx="720" cy="1371960"/>
          </xdr14:xfrm>
        </xdr:contentPart>
      </mc:Choice>
      <mc:Fallback xmlns="">
        <xdr:pic>
          <xdr:nvPicPr>
            <xdr:cNvPr id="342" name="Ink 341">
              <a:extLst>
                <a:ext uri="{FF2B5EF4-FFF2-40B4-BE49-F238E27FC236}">
                  <a16:creationId xmlns:a16="http://schemas.microsoft.com/office/drawing/2014/main" id="{CBCE7964-2AEE-F77B-0B45-276E1F3870A7}"/>
                </a:ext>
              </a:extLst>
            </xdr:cNvPr>
            <xdr:cNvPicPr/>
          </xdr:nvPicPr>
          <xdr:blipFill>
            <a:blip xmlns:r="http://schemas.openxmlformats.org/officeDocument/2006/relationships" r:embed="rId113"/>
            <a:stretch>
              <a:fillRect/>
            </a:stretch>
          </xdr:blipFill>
          <xdr:spPr>
            <a:xfrm>
              <a:off x="5769000" y="2517840"/>
              <a:ext cx="25200" cy="1384200"/>
            </a:xfrm>
            <a:prstGeom prst="rect">
              <a:avLst/>
            </a:prstGeom>
          </xdr:spPr>
        </xdr:pic>
      </mc:Fallback>
    </mc:AlternateContent>
    <xdr:clientData/>
  </xdr:twoCellAnchor>
  <xdr:twoCellAnchor editAs="oneCell">
    <xdr:from>
      <xdr:col>3</xdr:col>
      <xdr:colOff>303840</xdr:colOff>
      <xdr:row>20</xdr:row>
      <xdr:rowOff>94560</xdr:rowOff>
    </xdr:from>
    <xdr:to>
      <xdr:col>9</xdr:col>
      <xdr:colOff>304560</xdr:colOff>
      <xdr:row>20</xdr:row>
      <xdr:rowOff>95280</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344" name="Ink 343">
              <a:extLst>
                <a:ext uri="{FF2B5EF4-FFF2-40B4-BE49-F238E27FC236}">
                  <a16:creationId xmlns:a16="http://schemas.microsoft.com/office/drawing/2014/main" id="{7645B6A4-B1EA-A701-4FC9-508001AE1A5B}"/>
                </a:ext>
              </a:extLst>
            </xdr14:cNvPr>
            <xdr14:cNvContentPartPr/>
          </xdr14:nvContentPartPr>
          <xdr14:nvPr macro=""/>
          <xdr14:xfrm>
            <a:off x="2132640" y="3904560"/>
            <a:ext cx="3658320" cy="720"/>
          </xdr14:xfrm>
        </xdr:contentPart>
      </mc:Choice>
      <mc:Fallback xmlns="">
        <xdr:pic>
          <xdr:nvPicPr>
            <xdr:cNvPr id="344" name="Ink 343">
              <a:extLst>
                <a:ext uri="{FF2B5EF4-FFF2-40B4-BE49-F238E27FC236}">
                  <a16:creationId xmlns:a16="http://schemas.microsoft.com/office/drawing/2014/main" id="{7645B6A4-B1EA-A701-4FC9-508001AE1A5B}"/>
                </a:ext>
              </a:extLst>
            </xdr:cNvPr>
            <xdr:cNvPicPr/>
          </xdr:nvPicPr>
          <xdr:blipFill>
            <a:blip xmlns:r="http://schemas.openxmlformats.org/officeDocument/2006/relationships" r:embed="rId115"/>
            <a:stretch>
              <a:fillRect/>
            </a:stretch>
          </xdr:blipFill>
          <xdr:spPr>
            <a:xfrm>
              <a:off x="2126520" y="3892320"/>
              <a:ext cx="3670560" cy="25200"/>
            </a:xfrm>
            <a:prstGeom prst="rect">
              <a:avLst/>
            </a:prstGeom>
          </xdr:spPr>
        </xdr:pic>
      </mc:Fallback>
    </mc:AlternateContent>
    <xdr:clientData/>
  </xdr:twoCellAnchor>
  <xdr:twoCellAnchor editAs="oneCell">
    <xdr:from>
      <xdr:col>3</xdr:col>
      <xdr:colOff>323640</xdr:colOff>
      <xdr:row>13</xdr:row>
      <xdr:rowOff>37740</xdr:rowOff>
    </xdr:from>
    <xdr:to>
      <xdr:col>3</xdr:col>
      <xdr:colOff>324360</xdr:colOff>
      <xdr:row>20</xdr:row>
      <xdr:rowOff>124440</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346" name="Ink 345">
              <a:extLst>
                <a:ext uri="{FF2B5EF4-FFF2-40B4-BE49-F238E27FC236}">
                  <a16:creationId xmlns:a16="http://schemas.microsoft.com/office/drawing/2014/main" id="{6F0F9797-1FF2-ACBF-9F8F-003E00B5899A}"/>
                </a:ext>
              </a:extLst>
            </xdr14:cNvPr>
            <xdr14:cNvContentPartPr/>
          </xdr14:nvContentPartPr>
          <xdr14:nvPr macro=""/>
          <xdr14:xfrm>
            <a:off x="2152440" y="2514240"/>
            <a:ext cx="720" cy="1420200"/>
          </xdr14:xfrm>
        </xdr:contentPart>
      </mc:Choice>
      <mc:Fallback xmlns="">
        <xdr:pic>
          <xdr:nvPicPr>
            <xdr:cNvPr id="346" name="Ink 345">
              <a:extLst>
                <a:ext uri="{FF2B5EF4-FFF2-40B4-BE49-F238E27FC236}">
                  <a16:creationId xmlns:a16="http://schemas.microsoft.com/office/drawing/2014/main" id="{6F0F9797-1FF2-ACBF-9F8F-003E00B5899A}"/>
                </a:ext>
              </a:extLst>
            </xdr:cNvPr>
            <xdr:cNvPicPr/>
          </xdr:nvPicPr>
          <xdr:blipFill>
            <a:blip xmlns:r="http://schemas.openxmlformats.org/officeDocument/2006/relationships" r:embed="rId117"/>
            <a:stretch>
              <a:fillRect/>
            </a:stretch>
          </xdr:blipFill>
          <xdr:spPr>
            <a:xfrm>
              <a:off x="2140200" y="2508120"/>
              <a:ext cx="25200" cy="1432440"/>
            </a:xfrm>
            <a:prstGeom prst="rect">
              <a:avLst/>
            </a:prstGeom>
          </xdr:spPr>
        </xdr:pic>
      </mc:Fallback>
    </mc:AlternateContent>
    <xdr:clientData/>
  </xdr:twoCellAnchor>
  <xdr:twoCellAnchor editAs="oneCell">
    <xdr:from>
      <xdr:col>9</xdr:col>
      <xdr:colOff>447480</xdr:colOff>
      <xdr:row>13</xdr:row>
      <xdr:rowOff>66540</xdr:rowOff>
    </xdr:from>
    <xdr:to>
      <xdr:col>9</xdr:col>
      <xdr:colOff>447840</xdr:colOff>
      <xdr:row>13</xdr:row>
      <xdr:rowOff>66900</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351" name="Ink 350">
              <a:extLst>
                <a:ext uri="{FF2B5EF4-FFF2-40B4-BE49-F238E27FC236}">
                  <a16:creationId xmlns:a16="http://schemas.microsoft.com/office/drawing/2014/main" id="{2DFAE635-3B25-951C-CB79-DDB21503DE70}"/>
                </a:ext>
              </a:extLst>
            </xdr14:cNvPr>
            <xdr14:cNvContentPartPr/>
          </xdr14:nvContentPartPr>
          <xdr14:nvPr macro=""/>
          <xdr14:xfrm>
            <a:off x="5933880" y="2543040"/>
            <a:ext cx="360" cy="360"/>
          </xdr14:xfrm>
        </xdr:contentPart>
      </mc:Choice>
      <mc:Fallback xmlns="">
        <xdr:pic>
          <xdr:nvPicPr>
            <xdr:cNvPr id="351" name="Ink 350">
              <a:extLst>
                <a:ext uri="{FF2B5EF4-FFF2-40B4-BE49-F238E27FC236}">
                  <a16:creationId xmlns:a16="http://schemas.microsoft.com/office/drawing/2014/main" id="{2DFAE635-3B25-951C-CB79-DDB21503DE70}"/>
                </a:ext>
              </a:extLst>
            </xdr:cNvPr>
            <xdr:cNvPicPr/>
          </xdr:nvPicPr>
          <xdr:blipFill>
            <a:blip xmlns:r="http://schemas.openxmlformats.org/officeDocument/2006/relationships" r:embed="rId28"/>
            <a:stretch>
              <a:fillRect/>
            </a:stretch>
          </xdr:blipFill>
          <xdr:spPr>
            <a:xfrm>
              <a:off x="5927760" y="2536920"/>
              <a:ext cx="12600" cy="12600"/>
            </a:xfrm>
            <a:prstGeom prst="rect">
              <a:avLst/>
            </a:prstGeom>
          </xdr:spPr>
        </xdr:pic>
      </mc:Fallback>
    </mc:AlternateContent>
    <xdr:clientData/>
  </xdr:twoCellAnchor>
  <xdr:twoCellAnchor editAs="oneCell">
    <xdr:from>
      <xdr:col>9</xdr:col>
      <xdr:colOff>456840</xdr:colOff>
      <xdr:row>13</xdr:row>
      <xdr:rowOff>56820</xdr:rowOff>
    </xdr:from>
    <xdr:to>
      <xdr:col>16</xdr:col>
      <xdr:colOff>430080</xdr:colOff>
      <xdr:row>13</xdr:row>
      <xdr:rowOff>57540</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354" name="Ink 353">
              <a:extLst>
                <a:ext uri="{FF2B5EF4-FFF2-40B4-BE49-F238E27FC236}">
                  <a16:creationId xmlns:a16="http://schemas.microsoft.com/office/drawing/2014/main" id="{0E538AF0-7A5F-9404-6734-D980ADB39695}"/>
                </a:ext>
              </a:extLst>
            </xdr14:cNvPr>
            <xdr14:cNvContentPartPr/>
          </xdr14:nvContentPartPr>
          <xdr14:nvPr macro=""/>
          <xdr14:xfrm>
            <a:off x="5943240" y="2533320"/>
            <a:ext cx="4240440" cy="720"/>
          </xdr14:xfrm>
        </xdr:contentPart>
      </mc:Choice>
      <mc:Fallback xmlns="">
        <xdr:pic>
          <xdr:nvPicPr>
            <xdr:cNvPr id="354" name="Ink 353">
              <a:extLst>
                <a:ext uri="{FF2B5EF4-FFF2-40B4-BE49-F238E27FC236}">
                  <a16:creationId xmlns:a16="http://schemas.microsoft.com/office/drawing/2014/main" id="{0E538AF0-7A5F-9404-6734-D980ADB39695}"/>
                </a:ext>
              </a:extLst>
            </xdr:cNvPr>
            <xdr:cNvPicPr/>
          </xdr:nvPicPr>
          <xdr:blipFill>
            <a:blip xmlns:r="http://schemas.openxmlformats.org/officeDocument/2006/relationships" r:embed="rId120"/>
            <a:stretch>
              <a:fillRect/>
            </a:stretch>
          </xdr:blipFill>
          <xdr:spPr>
            <a:xfrm>
              <a:off x="5937120" y="2521080"/>
              <a:ext cx="4252680" cy="25200"/>
            </a:xfrm>
            <a:prstGeom prst="rect">
              <a:avLst/>
            </a:prstGeom>
          </xdr:spPr>
        </xdr:pic>
      </mc:Fallback>
    </mc:AlternateContent>
    <xdr:clientData/>
  </xdr:twoCellAnchor>
  <xdr:twoCellAnchor editAs="oneCell">
    <xdr:from>
      <xdr:col>16</xdr:col>
      <xdr:colOff>409200</xdr:colOff>
      <xdr:row>13</xdr:row>
      <xdr:rowOff>56820</xdr:rowOff>
    </xdr:from>
    <xdr:to>
      <xdr:col>16</xdr:col>
      <xdr:colOff>409920</xdr:colOff>
      <xdr:row>21</xdr:row>
      <xdr:rowOff>105300</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357" name="Ink 356">
              <a:extLst>
                <a:ext uri="{FF2B5EF4-FFF2-40B4-BE49-F238E27FC236}">
                  <a16:creationId xmlns:a16="http://schemas.microsoft.com/office/drawing/2014/main" id="{1A20669F-BD2A-9EC9-2957-1DE946EDF2B5}"/>
                </a:ext>
              </a:extLst>
            </xdr14:cNvPr>
            <xdr14:cNvContentPartPr/>
          </xdr14:nvContentPartPr>
          <xdr14:nvPr macro=""/>
          <xdr14:xfrm>
            <a:off x="10162800" y="2533320"/>
            <a:ext cx="720" cy="1572480"/>
          </xdr14:xfrm>
        </xdr:contentPart>
      </mc:Choice>
      <mc:Fallback xmlns="">
        <xdr:pic>
          <xdr:nvPicPr>
            <xdr:cNvPr id="357" name="Ink 356">
              <a:extLst>
                <a:ext uri="{FF2B5EF4-FFF2-40B4-BE49-F238E27FC236}">
                  <a16:creationId xmlns:a16="http://schemas.microsoft.com/office/drawing/2014/main" id="{1A20669F-BD2A-9EC9-2957-1DE946EDF2B5}"/>
                </a:ext>
              </a:extLst>
            </xdr:cNvPr>
            <xdr:cNvPicPr/>
          </xdr:nvPicPr>
          <xdr:blipFill>
            <a:blip xmlns:r="http://schemas.openxmlformats.org/officeDocument/2006/relationships" r:embed="rId122"/>
            <a:stretch>
              <a:fillRect/>
            </a:stretch>
          </xdr:blipFill>
          <xdr:spPr>
            <a:xfrm>
              <a:off x="10150560" y="2527200"/>
              <a:ext cx="25200" cy="1584720"/>
            </a:xfrm>
            <a:prstGeom prst="rect">
              <a:avLst/>
            </a:prstGeom>
          </xdr:spPr>
        </xdr:pic>
      </mc:Fallback>
    </mc:AlternateContent>
    <xdr:clientData/>
  </xdr:twoCellAnchor>
  <xdr:twoCellAnchor editAs="oneCell">
    <xdr:from>
      <xdr:col>9</xdr:col>
      <xdr:colOff>463320</xdr:colOff>
      <xdr:row>21</xdr:row>
      <xdr:rowOff>104220</xdr:rowOff>
    </xdr:from>
    <xdr:to>
      <xdr:col>16</xdr:col>
      <xdr:colOff>409200</xdr:colOff>
      <xdr:row>21</xdr:row>
      <xdr:rowOff>104940</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362" name="Ink 361">
              <a:extLst>
                <a:ext uri="{FF2B5EF4-FFF2-40B4-BE49-F238E27FC236}">
                  <a16:creationId xmlns:a16="http://schemas.microsoft.com/office/drawing/2014/main" id="{196ABF70-7BEC-5173-7DB6-23793475CE19}"/>
                </a:ext>
              </a:extLst>
            </xdr14:cNvPr>
            <xdr14:cNvContentPartPr/>
          </xdr14:nvContentPartPr>
          <xdr14:nvPr macro=""/>
          <xdr14:xfrm>
            <a:off x="5949720" y="4104720"/>
            <a:ext cx="4213080" cy="720"/>
          </xdr14:xfrm>
        </xdr:contentPart>
      </mc:Choice>
      <mc:Fallback xmlns="">
        <xdr:pic>
          <xdr:nvPicPr>
            <xdr:cNvPr id="362" name="Ink 361">
              <a:extLst>
                <a:ext uri="{FF2B5EF4-FFF2-40B4-BE49-F238E27FC236}">
                  <a16:creationId xmlns:a16="http://schemas.microsoft.com/office/drawing/2014/main" id="{196ABF70-7BEC-5173-7DB6-23793475CE19}"/>
                </a:ext>
              </a:extLst>
            </xdr:cNvPr>
            <xdr:cNvPicPr/>
          </xdr:nvPicPr>
          <xdr:blipFill>
            <a:blip xmlns:r="http://schemas.openxmlformats.org/officeDocument/2006/relationships" r:embed="rId124"/>
            <a:stretch>
              <a:fillRect/>
            </a:stretch>
          </xdr:blipFill>
          <xdr:spPr>
            <a:xfrm>
              <a:off x="5943600" y="4092480"/>
              <a:ext cx="4225320" cy="25200"/>
            </a:xfrm>
            <a:prstGeom prst="rect">
              <a:avLst/>
            </a:prstGeom>
          </xdr:spPr>
        </xdr:pic>
      </mc:Fallback>
    </mc:AlternateContent>
    <xdr:clientData/>
  </xdr:twoCellAnchor>
  <xdr:twoCellAnchor editAs="oneCell">
    <xdr:from>
      <xdr:col>9</xdr:col>
      <xdr:colOff>466560</xdr:colOff>
      <xdr:row>13</xdr:row>
      <xdr:rowOff>56820</xdr:rowOff>
    </xdr:from>
    <xdr:to>
      <xdr:col>9</xdr:col>
      <xdr:colOff>467280</xdr:colOff>
      <xdr:row>21</xdr:row>
      <xdr:rowOff>133740</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365" name="Ink 364">
              <a:extLst>
                <a:ext uri="{FF2B5EF4-FFF2-40B4-BE49-F238E27FC236}">
                  <a16:creationId xmlns:a16="http://schemas.microsoft.com/office/drawing/2014/main" id="{ECD6CCDF-FC3F-8736-6A79-43BDCFE765BA}"/>
                </a:ext>
              </a:extLst>
            </xdr14:cNvPr>
            <xdr14:cNvContentPartPr/>
          </xdr14:nvContentPartPr>
          <xdr14:nvPr macro=""/>
          <xdr14:xfrm>
            <a:off x="5952960" y="2533320"/>
            <a:ext cx="720" cy="1600920"/>
          </xdr14:xfrm>
        </xdr:contentPart>
      </mc:Choice>
      <mc:Fallback xmlns="">
        <xdr:pic>
          <xdr:nvPicPr>
            <xdr:cNvPr id="365" name="Ink 364">
              <a:extLst>
                <a:ext uri="{FF2B5EF4-FFF2-40B4-BE49-F238E27FC236}">
                  <a16:creationId xmlns:a16="http://schemas.microsoft.com/office/drawing/2014/main" id="{ECD6CCDF-FC3F-8736-6A79-43BDCFE765BA}"/>
                </a:ext>
              </a:extLst>
            </xdr:cNvPr>
            <xdr:cNvPicPr/>
          </xdr:nvPicPr>
          <xdr:blipFill>
            <a:blip xmlns:r="http://schemas.openxmlformats.org/officeDocument/2006/relationships" r:embed="rId126"/>
            <a:stretch>
              <a:fillRect/>
            </a:stretch>
          </xdr:blipFill>
          <xdr:spPr>
            <a:xfrm>
              <a:off x="5940720" y="2527200"/>
              <a:ext cx="25200" cy="1613160"/>
            </a:xfrm>
            <a:prstGeom prst="rect">
              <a:avLst/>
            </a:prstGeom>
          </xdr:spPr>
        </xdr:pic>
      </mc:Fallback>
    </mc:AlternateContent>
    <xdr:clientData/>
  </xdr:twoCellAnchor>
  <xdr:twoCellAnchor editAs="oneCell">
    <xdr:from>
      <xdr:col>16</xdr:col>
      <xdr:colOff>533040</xdr:colOff>
      <xdr:row>13</xdr:row>
      <xdr:rowOff>104700</xdr:rowOff>
    </xdr:from>
    <xdr:to>
      <xdr:col>21</xdr:col>
      <xdr:colOff>295920</xdr:colOff>
      <xdr:row>13</xdr:row>
      <xdr:rowOff>105420</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370" name="Ink 369">
              <a:extLst>
                <a:ext uri="{FF2B5EF4-FFF2-40B4-BE49-F238E27FC236}">
                  <a16:creationId xmlns:a16="http://schemas.microsoft.com/office/drawing/2014/main" id="{8BD730C9-9BD3-A2AB-4488-4C1AC4378ED1}"/>
                </a:ext>
              </a:extLst>
            </xdr14:cNvPr>
            <xdr14:cNvContentPartPr/>
          </xdr14:nvContentPartPr>
          <xdr14:nvPr macro=""/>
          <xdr14:xfrm>
            <a:off x="10286640" y="2581200"/>
            <a:ext cx="2810880" cy="720"/>
          </xdr14:xfrm>
        </xdr:contentPart>
      </mc:Choice>
      <mc:Fallback xmlns="">
        <xdr:pic>
          <xdr:nvPicPr>
            <xdr:cNvPr id="370" name="Ink 369">
              <a:extLst>
                <a:ext uri="{FF2B5EF4-FFF2-40B4-BE49-F238E27FC236}">
                  <a16:creationId xmlns:a16="http://schemas.microsoft.com/office/drawing/2014/main" id="{8BD730C9-9BD3-A2AB-4488-4C1AC4378ED1}"/>
                </a:ext>
              </a:extLst>
            </xdr:cNvPr>
            <xdr:cNvPicPr/>
          </xdr:nvPicPr>
          <xdr:blipFill>
            <a:blip xmlns:r="http://schemas.openxmlformats.org/officeDocument/2006/relationships" r:embed="rId128"/>
            <a:stretch>
              <a:fillRect/>
            </a:stretch>
          </xdr:blipFill>
          <xdr:spPr>
            <a:xfrm>
              <a:off x="10280520" y="2568960"/>
              <a:ext cx="2823120" cy="25200"/>
            </a:xfrm>
            <a:prstGeom prst="rect">
              <a:avLst/>
            </a:prstGeom>
          </xdr:spPr>
        </xdr:pic>
      </mc:Fallback>
    </mc:AlternateContent>
    <xdr:clientData/>
  </xdr:twoCellAnchor>
  <xdr:twoCellAnchor editAs="oneCell">
    <xdr:from>
      <xdr:col>21</xdr:col>
      <xdr:colOff>275760</xdr:colOff>
      <xdr:row>13</xdr:row>
      <xdr:rowOff>104700</xdr:rowOff>
    </xdr:from>
    <xdr:to>
      <xdr:col>21</xdr:col>
      <xdr:colOff>276480</xdr:colOff>
      <xdr:row>29</xdr:row>
      <xdr:rowOff>87180</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375" name="Ink 374">
              <a:extLst>
                <a:ext uri="{FF2B5EF4-FFF2-40B4-BE49-F238E27FC236}">
                  <a16:creationId xmlns:a16="http://schemas.microsoft.com/office/drawing/2014/main" id="{66C1E573-83B6-BE15-CB06-E5C914330D55}"/>
                </a:ext>
              </a:extLst>
            </xdr14:cNvPr>
            <xdr14:cNvContentPartPr/>
          </xdr14:nvContentPartPr>
          <xdr14:nvPr macro=""/>
          <xdr14:xfrm>
            <a:off x="13077360" y="2581200"/>
            <a:ext cx="720" cy="3030480"/>
          </xdr14:xfrm>
        </xdr:contentPart>
      </mc:Choice>
      <mc:Fallback xmlns="">
        <xdr:pic>
          <xdr:nvPicPr>
            <xdr:cNvPr id="375" name="Ink 374">
              <a:extLst>
                <a:ext uri="{FF2B5EF4-FFF2-40B4-BE49-F238E27FC236}">
                  <a16:creationId xmlns:a16="http://schemas.microsoft.com/office/drawing/2014/main" id="{66C1E573-83B6-BE15-CB06-E5C914330D55}"/>
                </a:ext>
              </a:extLst>
            </xdr:cNvPr>
            <xdr:cNvPicPr/>
          </xdr:nvPicPr>
          <xdr:blipFill>
            <a:blip xmlns:r="http://schemas.openxmlformats.org/officeDocument/2006/relationships" r:embed="rId130"/>
            <a:stretch>
              <a:fillRect/>
            </a:stretch>
          </xdr:blipFill>
          <xdr:spPr>
            <a:xfrm>
              <a:off x="13065120" y="2575080"/>
              <a:ext cx="25200" cy="3042720"/>
            </a:xfrm>
            <a:prstGeom prst="rect">
              <a:avLst/>
            </a:prstGeom>
          </xdr:spPr>
        </xdr:pic>
      </mc:Fallback>
    </mc:AlternateContent>
    <xdr:clientData/>
  </xdr:twoCellAnchor>
  <xdr:twoCellAnchor editAs="oneCell">
    <xdr:from>
      <xdr:col>16</xdr:col>
      <xdr:colOff>588480</xdr:colOff>
      <xdr:row>29</xdr:row>
      <xdr:rowOff>85020</xdr:rowOff>
    </xdr:from>
    <xdr:to>
      <xdr:col>21</xdr:col>
      <xdr:colOff>276120</xdr:colOff>
      <xdr:row>29</xdr:row>
      <xdr:rowOff>85740</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378" name="Ink 377">
              <a:extLst>
                <a:ext uri="{FF2B5EF4-FFF2-40B4-BE49-F238E27FC236}">
                  <a16:creationId xmlns:a16="http://schemas.microsoft.com/office/drawing/2014/main" id="{3F4D9599-5F0A-45C6-BFC8-B953B94C8A4A}"/>
                </a:ext>
              </a:extLst>
            </xdr14:cNvPr>
            <xdr14:cNvContentPartPr/>
          </xdr14:nvContentPartPr>
          <xdr14:nvPr macro=""/>
          <xdr14:xfrm>
            <a:off x="10342080" y="5609520"/>
            <a:ext cx="2735640" cy="720"/>
          </xdr14:xfrm>
        </xdr:contentPart>
      </mc:Choice>
      <mc:Fallback xmlns="">
        <xdr:pic>
          <xdr:nvPicPr>
            <xdr:cNvPr id="378" name="Ink 377">
              <a:extLst>
                <a:ext uri="{FF2B5EF4-FFF2-40B4-BE49-F238E27FC236}">
                  <a16:creationId xmlns:a16="http://schemas.microsoft.com/office/drawing/2014/main" id="{3F4D9599-5F0A-45C6-BFC8-B953B94C8A4A}"/>
                </a:ext>
              </a:extLst>
            </xdr:cNvPr>
            <xdr:cNvPicPr/>
          </xdr:nvPicPr>
          <xdr:blipFill>
            <a:blip xmlns:r="http://schemas.openxmlformats.org/officeDocument/2006/relationships" r:embed="rId132"/>
            <a:stretch>
              <a:fillRect/>
            </a:stretch>
          </xdr:blipFill>
          <xdr:spPr>
            <a:xfrm>
              <a:off x="10335960" y="5597280"/>
              <a:ext cx="2747880" cy="25200"/>
            </a:xfrm>
            <a:prstGeom prst="rect">
              <a:avLst/>
            </a:prstGeom>
          </xdr:spPr>
        </xdr:pic>
      </mc:Fallback>
    </mc:AlternateContent>
    <xdr:clientData/>
  </xdr:twoCellAnchor>
  <xdr:twoCellAnchor editAs="oneCell">
    <xdr:from>
      <xdr:col>16</xdr:col>
      <xdr:colOff>533040</xdr:colOff>
      <xdr:row>13</xdr:row>
      <xdr:rowOff>104700</xdr:rowOff>
    </xdr:from>
    <xdr:to>
      <xdr:col>16</xdr:col>
      <xdr:colOff>533760</xdr:colOff>
      <xdr:row>29</xdr:row>
      <xdr:rowOff>88620</xdr:rowOff>
    </xdr:to>
    <mc:AlternateContent xmlns:mc="http://schemas.openxmlformats.org/markup-compatibility/2006" xmlns:xdr14="http://schemas.microsoft.com/office/excel/2010/spreadsheetDrawing">
      <mc:Choice Requires="xdr14">
        <xdr:contentPart xmlns:r="http://schemas.openxmlformats.org/officeDocument/2006/relationships" r:id="rId133">
          <xdr14:nvContentPartPr>
            <xdr14:cNvPr id="380" name="Ink 379">
              <a:extLst>
                <a:ext uri="{FF2B5EF4-FFF2-40B4-BE49-F238E27FC236}">
                  <a16:creationId xmlns:a16="http://schemas.microsoft.com/office/drawing/2014/main" id="{45EC3B79-7A64-5C93-3EED-42233053DA47}"/>
                </a:ext>
              </a:extLst>
            </xdr14:cNvPr>
            <xdr14:cNvContentPartPr/>
          </xdr14:nvContentPartPr>
          <xdr14:nvPr macro=""/>
          <xdr14:xfrm>
            <a:off x="10286640" y="2581200"/>
            <a:ext cx="720" cy="3031920"/>
          </xdr14:xfrm>
        </xdr:contentPart>
      </mc:Choice>
      <mc:Fallback xmlns="">
        <xdr:pic>
          <xdr:nvPicPr>
            <xdr:cNvPr id="380" name="Ink 379">
              <a:extLst>
                <a:ext uri="{FF2B5EF4-FFF2-40B4-BE49-F238E27FC236}">
                  <a16:creationId xmlns:a16="http://schemas.microsoft.com/office/drawing/2014/main" id="{45EC3B79-7A64-5C93-3EED-42233053DA47}"/>
                </a:ext>
              </a:extLst>
            </xdr:cNvPr>
            <xdr:cNvPicPr/>
          </xdr:nvPicPr>
          <xdr:blipFill>
            <a:blip xmlns:r="http://schemas.openxmlformats.org/officeDocument/2006/relationships" r:embed="rId130"/>
            <a:stretch>
              <a:fillRect/>
            </a:stretch>
          </xdr:blipFill>
          <xdr:spPr>
            <a:xfrm>
              <a:off x="10274400" y="2575080"/>
              <a:ext cx="25200" cy="3044160"/>
            </a:xfrm>
            <a:prstGeom prst="rect">
              <a:avLst/>
            </a:prstGeom>
          </xdr:spPr>
        </xdr:pic>
      </mc:Fallback>
    </mc:AlternateContent>
    <xdr:clientData/>
  </xdr:twoCellAnchor>
  <xdr:twoCellAnchor editAs="oneCell">
    <xdr:from>
      <xdr:col>16</xdr:col>
      <xdr:colOff>536640</xdr:colOff>
      <xdr:row>29</xdr:row>
      <xdr:rowOff>85380</xdr:rowOff>
    </xdr:from>
    <xdr:to>
      <xdr:col>17</xdr:col>
      <xdr:colOff>9480</xdr:colOff>
      <xdr:row>29</xdr:row>
      <xdr:rowOff>85740</xdr:rowOff>
    </xdr:to>
    <mc:AlternateContent xmlns:mc="http://schemas.openxmlformats.org/markup-compatibility/2006" xmlns:xdr14="http://schemas.microsoft.com/office/excel/2010/spreadsheetDrawing">
      <mc:Choice Requires="xdr14">
        <xdr:contentPart xmlns:r="http://schemas.openxmlformats.org/officeDocument/2006/relationships" r:id="rId134">
          <xdr14:nvContentPartPr>
            <xdr14:cNvPr id="381" name="Ink 380">
              <a:extLst>
                <a:ext uri="{FF2B5EF4-FFF2-40B4-BE49-F238E27FC236}">
                  <a16:creationId xmlns:a16="http://schemas.microsoft.com/office/drawing/2014/main" id="{B21DFCE7-2604-8DE2-CBEB-9557A57BD104}"/>
                </a:ext>
              </a:extLst>
            </xdr14:cNvPr>
            <xdr14:cNvContentPartPr/>
          </xdr14:nvContentPartPr>
          <xdr14:nvPr macro=""/>
          <xdr14:xfrm>
            <a:off x="10290240" y="5609880"/>
            <a:ext cx="82440" cy="360"/>
          </xdr14:xfrm>
        </xdr:contentPart>
      </mc:Choice>
      <mc:Fallback xmlns="">
        <xdr:pic>
          <xdr:nvPicPr>
            <xdr:cNvPr id="381" name="Ink 380">
              <a:extLst>
                <a:ext uri="{FF2B5EF4-FFF2-40B4-BE49-F238E27FC236}">
                  <a16:creationId xmlns:a16="http://schemas.microsoft.com/office/drawing/2014/main" id="{B21DFCE7-2604-8DE2-CBEB-9557A57BD104}"/>
                </a:ext>
              </a:extLst>
            </xdr:cNvPr>
            <xdr:cNvPicPr/>
          </xdr:nvPicPr>
          <xdr:blipFill>
            <a:blip xmlns:r="http://schemas.openxmlformats.org/officeDocument/2006/relationships" r:embed="rId135"/>
            <a:stretch>
              <a:fillRect/>
            </a:stretch>
          </xdr:blipFill>
          <xdr:spPr>
            <a:xfrm>
              <a:off x="10284120" y="5603760"/>
              <a:ext cx="94680" cy="12600"/>
            </a:xfrm>
            <a:prstGeom prst="rect">
              <a:avLst/>
            </a:prstGeom>
          </xdr:spPr>
        </xdr:pic>
      </mc:Fallback>
    </mc:AlternateContent>
    <xdr:clientData/>
  </xdr:twoCellAnchor>
  <xdr:twoCellAnchor editAs="oneCell">
    <xdr:from>
      <xdr:col>3</xdr:col>
      <xdr:colOff>590040</xdr:colOff>
      <xdr:row>22</xdr:row>
      <xdr:rowOff>190200</xdr:rowOff>
    </xdr:from>
    <xdr:to>
      <xdr:col>16</xdr:col>
      <xdr:colOff>324960</xdr:colOff>
      <xdr:row>23</xdr:row>
      <xdr:rowOff>420</xdr:rowOff>
    </xdr:to>
    <mc:AlternateContent xmlns:mc="http://schemas.openxmlformats.org/markup-compatibility/2006" xmlns:xdr14="http://schemas.microsoft.com/office/excel/2010/spreadsheetDrawing">
      <mc:Choice Requires="xdr14">
        <xdr:contentPart xmlns:r="http://schemas.openxmlformats.org/officeDocument/2006/relationships" r:id="rId136">
          <xdr14:nvContentPartPr>
            <xdr14:cNvPr id="387" name="Ink 386">
              <a:extLst>
                <a:ext uri="{FF2B5EF4-FFF2-40B4-BE49-F238E27FC236}">
                  <a16:creationId xmlns:a16="http://schemas.microsoft.com/office/drawing/2014/main" id="{F163D5DD-AC1E-E2D6-9C9D-950AAB351495}"/>
                </a:ext>
              </a:extLst>
            </xdr14:cNvPr>
            <xdr14:cNvContentPartPr/>
          </xdr14:nvContentPartPr>
          <xdr14:nvPr macro=""/>
          <xdr14:xfrm>
            <a:off x="2418840" y="4381200"/>
            <a:ext cx="7659720" cy="720"/>
          </xdr14:xfrm>
        </xdr:contentPart>
      </mc:Choice>
      <mc:Fallback xmlns="">
        <xdr:pic>
          <xdr:nvPicPr>
            <xdr:cNvPr id="387" name="Ink 386">
              <a:extLst>
                <a:ext uri="{FF2B5EF4-FFF2-40B4-BE49-F238E27FC236}">
                  <a16:creationId xmlns:a16="http://schemas.microsoft.com/office/drawing/2014/main" id="{F163D5DD-AC1E-E2D6-9C9D-950AAB351495}"/>
                </a:ext>
              </a:extLst>
            </xdr:cNvPr>
            <xdr:cNvPicPr/>
          </xdr:nvPicPr>
          <xdr:blipFill>
            <a:blip xmlns:r="http://schemas.openxmlformats.org/officeDocument/2006/relationships" r:embed="rId137"/>
            <a:stretch>
              <a:fillRect/>
            </a:stretch>
          </xdr:blipFill>
          <xdr:spPr>
            <a:xfrm>
              <a:off x="2412720" y="4368960"/>
              <a:ext cx="7671960" cy="25200"/>
            </a:xfrm>
            <a:prstGeom prst="rect">
              <a:avLst/>
            </a:prstGeom>
          </xdr:spPr>
        </xdr:pic>
      </mc:Fallback>
    </mc:AlternateContent>
    <xdr:clientData/>
  </xdr:twoCellAnchor>
  <xdr:twoCellAnchor editAs="oneCell">
    <xdr:from>
      <xdr:col>16</xdr:col>
      <xdr:colOff>314160</xdr:colOff>
      <xdr:row>22</xdr:row>
      <xdr:rowOff>190200</xdr:rowOff>
    </xdr:from>
    <xdr:to>
      <xdr:col>16</xdr:col>
      <xdr:colOff>314880</xdr:colOff>
      <xdr:row>29</xdr:row>
      <xdr:rowOff>76740</xdr:rowOff>
    </xdr:to>
    <mc:AlternateContent xmlns:mc="http://schemas.openxmlformats.org/markup-compatibility/2006" xmlns:xdr14="http://schemas.microsoft.com/office/excel/2010/spreadsheetDrawing">
      <mc:Choice Requires="xdr14">
        <xdr:contentPart xmlns:r="http://schemas.openxmlformats.org/officeDocument/2006/relationships" r:id="rId138">
          <xdr14:nvContentPartPr>
            <xdr14:cNvPr id="389" name="Ink 388">
              <a:extLst>
                <a:ext uri="{FF2B5EF4-FFF2-40B4-BE49-F238E27FC236}">
                  <a16:creationId xmlns:a16="http://schemas.microsoft.com/office/drawing/2014/main" id="{5A4139FB-E033-97DA-9866-A697D1798383}"/>
                </a:ext>
              </a:extLst>
            </xdr14:cNvPr>
            <xdr14:cNvContentPartPr/>
          </xdr14:nvContentPartPr>
          <xdr14:nvPr macro=""/>
          <xdr14:xfrm>
            <a:off x="10067760" y="4381200"/>
            <a:ext cx="720" cy="1220040"/>
          </xdr14:xfrm>
        </xdr:contentPart>
      </mc:Choice>
      <mc:Fallback xmlns="">
        <xdr:pic>
          <xdr:nvPicPr>
            <xdr:cNvPr id="389" name="Ink 388">
              <a:extLst>
                <a:ext uri="{FF2B5EF4-FFF2-40B4-BE49-F238E27FC236}">
                  <a16:creationId xmlns:a16="http://schemas.microsoft.com/office/drawing/2014/main" id="{5A4139FB-E033-97DA-9866-A697D1798383}"/>
                </a:ext>
              </a:extLst>
            </xdr:cNvPr>
            <xdr:cNvPicPr/>
          </xdr:nvPicPr>
          <xdr:blipFill>
            <a:blip xmlns:r="http://schemas.openxmlformats.org/officeDocument/2006/relationships" r:embed="rId139"/>
            <a:stretch>
              <a:fillRect/>
            </a:stretch>
          </xdr:blipFill>
          <xdr:spPr>
            <a:xfrm>
              <a:off x="10055520" y="4375080"/>
              <a:ext cx="25200" cy="1232280"/>
            </a:xfrm>
            <a:prstGeom prst="rect">
              <a:avLst/>
            </a:prstGeom>
          </xdr:spPr>
        </xdr:pic>
      </mc:Fallback>
    </mc:AlternateContent>
    <xdr:clientData/>
  </xdr:twoCellAnchor>
  <xdr:twoCellAnchor editAs="oneCell">
    <xdr:from>
      <xdr:col>3</xdr:col>
      <xdr:colOff>532800</xdr:colOff>
      <xdr:row>29</xdr:row>
      <xdr:rowOff>65940</xdr:rowOff>
    </xdr:from>
    <xdr:to>
      <xdr:col>16</xdr:col>
      <xdr:colOff>314520</xdr:colOff>
      <xdr:row>29</xdr:row>
      <xdr:rowOff>66660</xdr:rowOff>
    </xdr:to>
    <mc:AlternateContent xmlns:mc="http://schemas.openxmlformats.org/markup-compatibility/2006" xmlns:xdr14="http://schemas.microsoft.com/office/excel/2010/spreadsheetDrawing">
      <mc:Choice Requires="xdr14">
        <xdr:contentPart xmlns:r="http://schemas.openxmlformats.org/officeDocument/2006/relationships" r:id="rId140">
          <xdr14:nvContentPartPr>
            <xdr14:cNvPr id="396" name="Ink 395">
              <a:extLst>
                <a:ext uri="{FF2B5EF4-FFF2-40B4-BE49-F238E27FC236}">
                  <a16:creationId xmlns:a16="http://schemas.microsoft.com/office/drawing/2014/main" id="{43437429-E7C5-EAB8-D460-7FE4BA244A4B}"/>
                </a:ext>
              </a:extLst>
            </xdr14:cNvPr>
            <xdr14:cNvContentPartPr/>
          </xdr14:nvContentPartPr>
          <xdr14:nvPr macro=""/>
          <xdr14:xfrm>
            <a:off x="2361600" y="5590440"/>
            <a:ext cx="7706520" cy="720"/>
          </xdr14:xfrm>
        </xdr:contentPart>
      </mc:Choice>
      <mc:Fallback xmlns="">
        <xdr:pic>
          <xdr:nvPicPr>
            <xdr:cNvPr id="396" name="Ink 395">
              <a:extLst>
                <a:ext uri="{FF2B5EF4-FFF2-40B4-BE49-F238E27FC236}">
                  <a16:creationId xmlns:a16="http://schemas.microsoft.com/office/drawing/2014/main" id="{43437429-E7C5-EAB8-D460-7FE4BA244A4B}"/>
                </a:ext>
              </a:extLst>
            </xdr:cNvPr>
            <xdr:cNvPicPr/>
          </xdr:nvPicPr>
          <xdr:blipFill>
            <a:blip xmlns:r="http://schemas.openxmlformats.org/officeDocument/2006/relationships" r:embed="rId141"/>
            <a:stretch>
              <a:fillRect/>
            </a:stretch>
          </xdr:blipFill>
          <xdr:spPr>
            <a:xfrm>
              <a:off x="2355480" y="5578200"/>
              <a:ext cx="7718760" cy="25200"/>
            </a:xfrm>
            <a:prstGeom prst="rect">
              <a:avLst/>
            </a:prstGeom>
          </xdr:spPr>
        </xdr:pic>
      </mc:Fallback>
    </mc:AlternateContent>
    <xdr:clientData/>
  </xdr:twoCellAnchor>
  <xdr:twoCellAnchor editAs="oneCell">
    <xdr:from>
      <xdr:col>3</xdr:col>
      <xdr:colOff>590040</xdr:colOff>
      <xdr:row>22</xdr:row>
      <xdr:rowOff>180840</xdr:rowOff>
    </xdr:from>
    <xdr:to>
      <xdr:col>3</xdr:col>
      <xdr:colOff>590760</xdr:colOff>
      <xdr:row>29</xdr:row>
      <xdr:rowOff>67380</xdr:rowOff>
    </xdr:to>
    <mc:AlternateContent xmlns:mc="http://schemas.openxmlformats.org/markup-compatibility/2006" xmlns:xdr14="http://schemas.microsoft.com/office/excel/2010/spreadsheetDrawing">
      <mc:Choice Requires="xdr14">
        <xdr:contentPart xmlns:r="http://schemas.openxmlformats.org/officeDocument/2006/relationships" r:id="rId142">
          <xdr14:nvContentPartPr>
            <xdr14:cNvPr id="398" name="Ink 397">
              <a:extLst>
                <a:ext uri="{FF2B5EF4-FFF2-40B4-BE49-F238E27FC236}">
                  <a16:creationId xmlns:a16="http://schemas.microsoft.com/office/drawing/2014/main" id="{2E300679-C34F-DBFF-91A6-3B482E2BB198}"/>
                </a:ext>
              </a:extLst>
            </xdr14:cNvPr>
            <xdr14:cNvContentPartPr/>
          </xdr14:nvContentPartPr>
          <xdr14:nvPr macro=""/>
          <xdr14:xfrm>
            <a:off x="2418840" y="4371840"/>
            <a:ext cx="720" cy="1220040"/>
          </xdr14:xfrm>
        </xdr:contentPart>
      </mc:Choice>
      <mc:Fallback xmlns="">
        <xdr:pic>
          <xdr:nvPicPr>
            <xdr:cNvPr id="398" name="Ink 397">
              <a:extLst>
                <a:ext uri="{FF2B5EF4-FFF2-40B4-BE49-F238E27FC236}">
                  <a16:creationId xmlns:a16="http://schemas.microsoft.com/office/drawing/2014/main" id="{2E300679-C34F-DBFF-91A6-3B482E2BB198}"/>
                </a:ext>
              </a:extLst>
            </xdr:cNvPr>
            <xdr:cNvPicPr/>
          </xdr:nvPicPr>
          <xdr:blipFill>
            <a:blip xmlns:r="http://schemas.openxmlformats.org/officeDocument/2006/relationships" r:embed="rId143"/>
            <a:stretch>
              <a:fillRect/>
            </a:stretch>
          </xdr:blipFill>
          <xdr:spPr>
            <a:xfrm>
              <a:off x="2406600" y="4365720"/>
              <a:ext cx="25200" cy="1232280"/>
            </a:xfrm>
            <a:prstGeom prst="rect">
              <a:avLst/>
            </a:prstGeom>
          </xdr:spPr>
        </xdr:pic>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1171575</xdr:colOff>
      <xdr:row>63</xdr:row>
      <xdr:rowOff>85725</xdr:rowOff>
    </xdr:from>
    <xdr:to>
      <xdr:col>9</xdr:col>
      <xdr:colOff>600075</xdr:colOff>
      <xdr:row>76</xdr:row>
      <xdr:rowOff>133350</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06C7213D-B493-4BEB-13B1-3E42BC9F388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296275" y="120872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381000</xdr:colOff>
      <xdr:row>63</xdr:row>
      <xdr:rowOff>180975</xdr:rowOff>
    </xdr:from>
    <xdr:to>
      <xdr:col>10</xdr:col>
      <xdr:colOff>95250</xdr:colOff>
      <xdr:row>77</xdr:row>
      <xdr:rowOff>38100</xdr:rowOff>
    </xdr:to>
    <mc:AlternateContent xmlns:mc="http://schemas.openxmlformats.org/markup-compatibility/2006" xmlns:a14="http://schemas.microsoft.com/office/drawing/2010/main">
      <mc:Choice Requires="a14">
        <xdr:graphicFrame macro="">
          <xdr:nvGraphicFramePr>
            <xdr:cNvPr id="4" name="Customer Segment">
              <a:extLst>
                <a:ext uri="{FF2B5EF4-FFF2-40B4-BE49-F238E27FC236}">
                  <a16:creationId xmlns:a16="http://schemas.microsoft.com/office/drawing/2014/main" id="{36143586-E547-238F-702B-E20B4E67FF65}"/>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9982200" y="121824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114300</xdr:colOff>
      <xdr:row>61</xdr:row>
      <xdr:rowOff>142875</xdr:rowOff>
    </xdr:from>
    <xdr:to>
      <xdr:col>7</xdr:col>
      <xdr:colOff>276225</xdr:colOff>
      <xdr:row>75</xdr:row>
      <xdr:rowOff>0</xdr:rowOff>
    </xdr:to>
    <mc:AlternateContent xmlns:mc="http://schemas.openxmlformats.org/markup-compatibility/2006" xmlns:a14="http://schemas.microsoft.com/office/drawing/2010/main">
      <mc:Choice Requires="a14">
        <xdr:graphicFrame macro="">
          <xdr:nvGraphicFramePr>
            <xdr:cNvPr id="5" name="Month">
              <a:extLst>
                <a:ext uri="{FF2B5EF4-FFF2-40B4-BE49-F238E27FC236}">
                  <a16:creationId xmlns:a16="http://schemas.microsoft.com/office/drawing/2014/main" id="{BEAF5045-57EF-43D6-2817-2470FCAC4DC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362700" y="117633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990600</xdr:colOff>
      <xdr:row>62</xdr:row>
      <xdr:rowOff>0</xdr:rowOff>
    </xdr:from>
    <xdr:to>
      <xdr:col>9</xdr:col>
      <xdr:colOff>600075</xdr:colOff>
      <xdr:row>75</xdr:row>
      <xdr:rowOff>47625</xdr:rowOff>
    </xdr:to>
    <mc:AlternateContent xmlns:mc="http://schemas.openxmlformats.org/markup-compatibility/2006" xmlns:a14="http://schemas.microsoft.com/office/drawing/2010/main">
      <mc:Choice Requires="a14">
        <xdr:graphicFrame macro="">
          <xdr:nvGraphicFramePr>
            <xdr:cNvPr id="6" name="Customer Segment 1">
              <a:extLst>
                <a:ext uri="{FF2B5EF4-FFF2-40B4-BE49-F238E27FC236}">
                  <a16:creationId xmlns:a16="http://schemas.microsoft.com/office/drawing/2014/main" id="{849E5F06-7479-C468-2810-5BB992F575A5}"/>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mlns="">
        <xdr:sp macro="" textlink="">
          <xdr:nvSpPr>
            <xdr:cNvPr id="0" name=""/>
            <xdr:cNvSpPr>
              <a:spLocks noTextEdit="1"/>
            </xdr:cNvSpPr>
          </xdr:nvSpPr>
          <xdr:spPr>
            <a:xfrm>
              <a:off x="8115300" y="11811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85725</xdr:colOff>
      <xdr:row>4</xdr:row>
      <xdr:rowOff>95250</xdr:rowOff>
    </xdr:from>
    <xdr:to>
      <xdr:col>9</xdr:col>
      <xdr:colOff>123825</xdr:colOff>
      <xdr:row>17</xdr:row>
      <xdr:rowOff>142875</xdr:rowOff>
    </xdr:to>
    <mc:AlternateContent xmlns:mc="http://schemas.openxmlformats.org/markup-compatibility/2006" xmlns:a14="http://schemas.microsoft.com/office/drawing/2010/main">
      <mc:Choice Requires="a14">
        <xdr:graphicFrame macro="">
          <xdr:nvGraphicFramePr>
            <xdr:cNvPr id="2" name="Month 2">
              <a:extLst>
                <a:ext uri="{FF2B5EF4-FFF2-40B4-BE49-F238E27FC236}">
                  <a16:creationId xmlns:a16="http://schemas.microsoft.com/office/drawing/2014/main" id="{161241C1-B951-A0AE-AB7A-909D096409ED}"/>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6334125" y="857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0</xdr:colOff>
      <xdr:row>7</xdr:row>
      <xdr:rowOff>0</xdr:rowOff>
    </xdr:from>
    <xdr:to>
      <xdr:col>9</xdr:col>
      <xdr:colOff>600075</xdr:colOff>
      <xdr:row>20</xdr:row>
      <xdr:rowOff>47625</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9F3DD84A-64DE-0AB7-D130-7FC287C8AC6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810375" y="1333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9</xdr:row>
      <xdr:rowOff>95250</xdr:rowOff>
    </xdr:from>
    <xdr:to>
      <xdr:col>9</xdr:col>
      <xdr:colOff>1076325</xdr:colOff>
      <xdr:row>22</xdr:row>
      <xdr:rowOff>142875</xdr:rowOff>
    </xdr:to>
    <mc:AlternateContent xmlns:mc="http://schemas.openxmlformats.org/markup-compatibility/2006" xmlns:a14="http://schemas.microsoft.com/office/drawing/2010/main">
      <mc:Choice Requires="a14">
        <xdr:graphicFrame macro="">
          <xdr:nvGraphicFramePr>
            <xdr:cNvPr id="8" name="Product Category">
              <a:extLst>
                <a:ext uri="{FF2B5EF4-FFF2-40B4-BE49-F238E27FC236}">
                  <a16:creationId xmlns:a16="http://schemas.microsoft.com/office/drawing/2014/main" id="{082A1226-F72D-8093-1036-A87D0DD36BEF}"/>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7286625" y="1809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28575</xdr:colOff>
      <xdr:row>29</xdr:row>
      <xdr:rowOff>95250</xdr:rowOff>
    </xdr:from>
    <xdr:to>
      <xdr:col>12</xdr:col>
      <xdr:colOff>208335</xdr:colOff>
      <xdr:row>37</xdr:row>
      <xdr:rowOff>590550</xdr:rowOff>
    </xdr:to>
    <xdr:graphicFrame macro="">
      <xdr:nvGraphicFramePr>
        <xdr:cNvPr id="6" name="Chart 1">
          <a:extLst>
            <a:ext uri="{FF2B5EF4-FFF2-40B4-BE49-F238E27FC236}">
              <a16:creationId xmlns:a16="http://schemas.microsoft.com/office/drawing/2014/main" id="{85BC1FF4-51D0-472B-8274-95EA0964DC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Kamran%20Pc\Downloads\Nexacore_Pivot_Dashboard.xlsx" TargetMode="External"/><Relationship Id="rId1" Type="http://schemas.openxmlformats.org/officeDocument/2006/relationships/externalLinkPath" Target="Nexacore_Pivot_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Task Instructions"/>
      <sheetName val="Sales Data"/>
      <sheetName val="PT1 Revenue by Region"/>
      <sheetName val="PT2 Revenue by Category"/>
      <sheetName val="PT3 Revenue by Sales Rep"/>
      <sheetName val="PT4 Monthly Revenue Trend"/>
      <sheetName val="PT5 Region x Category"/>
      <sheetName val="PT6 Segment by Month"/>
      <sheetName val="PT7 Avg Order Value"/>
      <sheetName val="PT8 Units vs Revenue"/>
    </sheetNames>
    <sheetDataSet>
      <sheetData sheetId="0"/>
      <sheetData sheetId="1"/>
      <sheetData sheetId="2"/>
      <sheetData sheetId="3">
        <row r="5">
          <cell r="B5" t="str">
            <v>Total Revenue</v>
          </cell>
        </row>
        <row r="6">
          <cell r="A6" t="str">
            <v>East</v>
          </cell>
          <cell r="B6">
            <v>29668.789999999994</v>
          </cell>
        </row>
        <row r="7">
          <cell r="A7" t="str">
            <v>North</v>
          </cell>
          <cell r="B7">
            <v>28357.999999999996</v>
          </cell>
        </row>
        <row r="8">
          <cell r="A8" t="str">
            <v>South</v>
          </cell>
          <cell r="B8">
            <v>27508.989999999998</v>
          </cell>
        </row>
        <row r="9">
          <cell r="A9" t="str">
            <v>West</v>
          </cell>
          <cell r="B9">
            <v>27376.14</v>
          </cell>
        </row>
      </sheetData>
      <sheetData sheetId="4"/>
      <sheetData sheetId="5"/>
      <sheetData sheetId="6"/>
      <sheetData sheetId="7"/>
      <sheetData sheetId="8"/>
      <sheetData sheetId="9"/>
      <sheetData sheetId="10"/>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16:23.889"/>
    </inkml:context>
    <inkml:brush xml:id="br0">
      <inkml:brushProperty name="width" value="0.025" units="cm"/>
      <inkml:brushProperty name="height" value="0.025" units="cm"/>
    </inkml:brush>
  </inkml:definitions>
  <inkml:trace contextRef="#ctx0" brushRef="#br0">1 0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35:22.827"/>
    </inkml:context>
    <inkml:brush xml:id="br0">
      <inkml:brushProperty name="width" value="0.025" units="cm"/>
      <inkml:brushProperty name="height" value="0.025" units="cm"/>
    </inkml:brush>
  </inkml:definitions>
  <inkml:trace contextRef="#ctx0" brushRef="#br0">0 0 21389,'0'4577'0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35:36.775"/>
    </inkml:context>
    <inkml:brush xml:id="br0">
      <inkml:brushProperty name="width" value="0.025" units="cm"/>
      <inkml:brushProperty name="height" value="0.025" units="cm"/>
    </inkml:brush>
  </inkml:definitions>
  <inkml:trace contextRef="#ctx0" brushRef="#br0">0 0 23483,'0'5480'0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38:46.177"/>
    </inkml:context>
    <inkml:brush xml:id="br0">
      <inkml:brushProperty name="width" value="0.025" units="cm"/>
      <inkml:brushProperty name="height" value="0.025" units="cm"/>
    </inkml:brush>
  </inkml:definitions>
  <inkml:trace contextRef="#ctx0" brushRef="#br0">1 0 24575,'0'5'0,"0"5"0,0 6 0,0 5 0,0 3 0,0 2 0,0 1 0,0-8 0,0-8-8191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6:54:09.479"/>
    </inkml:context>
    <inkml:brush xml:id="br0">
      <inkml:brushProperty name="width" value="0.035" units="cm"/>
      <inkml:brushProperty name="height" value="0.035" units="cm"/>
      <inkml:brushProperty name="color" value="#E71224"/>
    </inkml:brush>
  </inkml:definitions>
  <inkml:trace contextRef="#ctx0" brushRef="#br0">0 1428 24294,'0'-1428'0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6:54:33.310"/>
    </inkml:context>
    <inkml:brush xml:id="br0">
      <inkml:brushProperty name="width" value="0.035" units="cm"/>
      <inkml:brushProperty name="height" value="0.035" units="cm"/>
      <inkml:brushProperty name="color" value="#E71224"/>
    </inkml:brush>
  </inkml:definitions>
  <inkml:trace contextRef="#ctx0" brushRef="#br0">0 0 24063,'31010'0'0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6:54:51.735"/>
    </inkml:context>
    <inkml:brush xml:id="br0">
      <inkml:brushProperty name="width" value="0.035" units="cm"/>
      <inkml:brushProperty name="height" value="0.035" units="cm"/>
      <inkml:brushProperty name="color" value="#E71224"/>
    </inkml:brush>
  </inkml:definitions>
  <inkml:trace contextRef="#ctx0" brushRef="#br0">0 0 23517,'0'1402'0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6:55:12.253"/>
    </inkml:context>
    <inkml:brush xml:id="br0">
      <inkml:brushProperty name="width" value="0.035" units="cm"/>
      <inkml:brushProperty name="height" value="0.035" units="cm"/>
      <inkml:brushProperty name="color" value="#E71224"/>
    </inkml:brush>
  </inkml:definitions>
  <inkml:trace contextRef="#ctx0" brushRef="#br0">31050 1 21389,'-31050'0'0</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6:55:31.143"/>
    </inkml:context>
    <inkml:brush xml:id="br0">
      <inkml:brushProperty name="width" value="0.035" units="cm"/>
      <inkml:brushProperty name="height" value="0.035" units="cm"/>
      <inkml:brushProperty name="color" value="#E71224"/>
    </inkml:brush>
  </inkml:definitions>
  <inkml:trace contextRef="#ctx0" brushRef="#br0">4 1111 24575,'-3'-148'0,"6"-157"0,0 286 0,1 0 0,1 0 0,11-31 0,7-26 0,-9-17 0,-4-1 0,-4 0 0,-8-99 0,12 260-1365,-4-32-5461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6:55:34.242"/>
    </inkml:context>
    <inkml:brush xml:id="br0">
      <inkml:brushProperty name="width" value="0.035" units="cm"/>
      <inkml:brushProperty name="height" value="0.035" units="cm"/>
      <inkml:brushProperty name="color" value="#E71224"/>
    </inkml:brush>
  </inkml:definitions>
  <inkml:trace contextRef="#ctx0" brushRef="#br0">1 24 24575,'3'2'0,"1"0"0,0 0 0,0 0 0,-1 0 0,1 0 0,-1 1 0,0 0 0,0-1 0,0 1 0,0 0 0,0 1 0,-1-1 0,1 0 0,-1 1 0,2 4 0,-2-6 0,20 34 0,-1 0 0,-2 1 0,20 52 0,33 128 0,-44-129 0,-3 3 0,-18-60 0,2-1 0,0 0 0,2-1 0,1 0 0,19 33 0,-6-30 0,-21-28 0,0 1 0,0 0 0,0 0 0,-1 0 0,1 0 0,-1 0 0,-1 1 0,1-1 0,-1 1 0,3 9 0,-1-3 0,0-12 0,4-23 0,3-39 0,-7-330 0,-6 210 0,2-125-1365,0 285-5461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6:55:51.699"/>
    </inkml:context>
    <inkml:brush xml:id="br0">
      <inkml:brushProperty name="width" value="0.035" units="cm"/>
      <inkml:brushProperty name="height" value="0.035" units="cm"/>
      <inkml:brushProperty name="color" value="#E71224"/>
    </inkml:brush>
  </inkml:definitions>
  <inkml:trace contextRef="#ctx0" brushRef="#br0">1 0 24575,'0'921'0,"-1"-908"0,3 37 0,-2-49 0,1 0 0,-1 0 0,0-1 0,0 1 0,0 0 0,1 0 0,-1 0 0,0 0 0,1 0 0,-1-1 0,1 1 0,-1 0 0,1 0 0,-1-1 0,1 1 0,0 0 0,-1-1 0,1 1 0,0-1 0,-1 1 0,1-1 0,0 1 0,0-1 0,-1 1 0,1-1 0,0 0 0,0 1 0,0-1 0,0 0 0,0 0 0,0 0 0,-1 0 0,1 1 0,0-1 0,0 0 0,0-1 0,0 1 0,0 0 0,0 0 0,0 0 0,-1 0 0,1-1 0,2 0 0,19-8 0,0-2 0,-1 0 0,21-15 0,-28 16 0,0 1 0,1 0 0,0 1 0,1 0 0,0 2 0,0 0 0,0 0 0,27-4 0,20 7-1365,-37 3-5461</inkml:trace>
  <inkml:trace contextRef="#ctx0" brushRef="#br0" timeOffset="765.6">133 476 24575,'4'0'0,"16"0"0,12 0 0,11 5 0,2 5 0,3 2 0,-8 3 0,-5-2 0,-5-2 0,-7-3-8191</inkml:trace>
  <inkml:trace contextRef="#ctx0" brushRef="#br0" timeOffset="1625.2">107 26 24575,'4'0'0,"11"0"0,7 0 0,5 0 0,1 0 0,2 0 0,-1 0 0,0 0 0,-1 0 0,-5 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6:55:54.951"/>
    </inkml:context>
    <inkml:brush xml:id="br0">
      <inkml:brushProperty name="width" value="0.035" units="cm"/>
      <inkml:brushProperty name="height" value="0.035" units="cm"/>
      <inkml:brushProperty name="color" value="#E71224"/>
    </inkml:brush>
  </inkml:definitions>
  <inkml:trace contextRef="#ctx0" brushRef="#br0">394 0 24575,'-2'9'0,"1"0"0,-1 0 0,-1 0 0,0-1 0,0 1 0,0-1 0,-1 0 0,-10 15 0,2 1 0,-58 99 0,41-76 0,-39 85 0,-84 260-1365,125-330-5461</inkml:trace>
  <inkml:trace contextRef="#ctx0" brushRef="#br0" timeOffset="1313.22">50 79 24575,'94'211'0,"-30"-81"0,-43-82 0,2-1 0,2-1 0,49 66 0,-63-99-151,1-1-1,0-1 0,1 0 0,1-1 1,-1 0-1,1-1 0,1-1 1,16 8-1,-1-2-6674</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6:55:58.847"/>
    </inkml:context>
    <inkml:brush xml:id="br0">
      <inkml:brushProperty name="width" value="0.035" units="cm"/>
      <inkml:brushProperty name="height" value="0.035" units="cm"/>
      <inkml:brushProperty name="color" value="#E71224"/>
    </inkml:brush>
  </inkml:definitions>
  <inkml:trace contextRef="#ctx0" brushRef="#br0">139 54 24575,'2'117'0,"0"-42"0,-2-1 0,-15 107 0,3-129 0,-35 95 0,15-56 0,27-75 0,2-4 0,0-1 0,-2 1 0,1-1 0,-8 12 0,7-41-1365,6-6-5461</inkml:trace>
  <inkml:trace contextRef="#ctx0" brushRef="#br0" timeOffset="1546.82">245 1 24575,'8'0'0,"1"0"0,0 0 0,-1 1 0,1 0 0,0 0 0,-1 1 0,1 0 0,-1 1 0,0 0 0,0 0 0,0 1 0,0 0 0,0 0 0,-1 0 0,0 1 0,0 1 0,0-1 0,0 1 0,-1 0 0,0 1 0,0-1 0,-1 1 0,6 10 0,109 203 0,-50-85 0,-62-119 12,-1 0 1,0 0-1,-1 1 0,-1 0 0,-1 0 1,0 0-1,1 22 0,-1 11-466,-5 60 1,0-82-103,0-4-6270</inkml:trace>
  <inkml:trace contextRef="#ctx0" brushRef="#br0" timeOffset="2343.67">139 477 24575,'4'0'0,"11"0"0,12 0 0,15 0 0,13 0 0,7 0 0,1 0 0,0 0 0,-3 0 0,-6 0 0,-9 0 0,-6 0 0,-11 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6:56:03.962"/>
    </inkml:context>
    <inkml:brush xml:id="br0">
      <inkml:brushProperty name="width" value="0.035" units="cm"/>
      <inkml:brushProperty name="height" value="0.035" units="cm"/>
      <inkml:brushProperty name="color" value="#E71224"/>
    </inkml:brush>
  </inkml:definitions>
  <inkml:trace contextRef="#ctx0" brushRef="#br0">534 29 24575,'-1'-1'0,"1"0"0,-1 0 0,1 0 0,-1 0 0,1-1 0,-1 1 0,0 0 0,0 0 0,1 0 0,-1 1 0,0-1 0,0 0 0,0 0 0,0 0 0,0 1 0,0-1 0,0 0 0,0 1 0,-1-1 0,1 1 0,0-1 0,0 1 0,0 0 0,-1-1 0,1 1 0,0 0 0,-2 0 0,-40-5 0,38 5 0,0-1 0,-21-1 0,0 2 0,-49 4 0,66-3 0,1 0 0,0 1 0,1 0 0,-1 1 0,0 0 0,1 0 0,-1 1 0,1 0 0,0 0 0,0 0 0,1 1 0,-1 0 0,-7 9 0,-11 12 0,-13 12 0,2 1 0,-51 75 0,82-106 0,1 1 0,0 0 0,1 0 0,0 0 0,0 0 0,1 0 0,0 1 0,-1 17 0,4 80 0,1-57 0,-3-10 0,1-19 0,0 0 0,5 36 0,-4-51 0,0 0 0,1-1 0,-1 1 0,2 0 0,-1-1 0,0 1 0,1-1 0,0 0 0,0 0 0,1 0 0,-1 0 0,1-1 0,0 1 0,5 3 0,112 104 0,-113-105 0,0-1 0,1 1 0,0-2 0,0 1 0,0-1 0,1 0 0,0-1 0,0-1 0,0 1 0,0-1 0,0-1 0,21 2 0,12 0 0,79-3 0,-92-2 0,-22 1 0,14-1 0,-1 0 0,43-7 0,-56 6 0,-1-1 0,1 1 0,-1-1 0,1-1 0,-1 1 0,0-1 0,-1-1 0,1 1 0,-1-1 0,0 0 0,8-9 0,-8 9-195,0-1 0,-1 0 0,0-1 0,0 1 0,0-1 0,6-13 0,-3-4-6631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6:56:09.296"/>
    </inkml:context>
    <inkml:brush xml:id="br0">
      <inkml:brushProperty name="width" value="0.035" units="cm"/>
      <inkml:brushProperty name="height" value="0.035" units="cm"/>
      <inkml:brushProperty name="color" value="#E71224"/>
    </inkml:brush>
  </inkml:definitions>
  <inkml:trace contextRef="#ctx0" brushRef="#br0">9 161 24575,'0'-4'0,"0"0"0,0-1 0,1 1 0,0 0 0,0 0 0,0 0 0,0 0 0,0 0 0,1 0 0,0 0 0,0 0 0,0 0 0,0 1 0,1-1 0,0 1 0,-1 0 0,5-5 0,0 3 0,-1 0 0,1 0 0,1 1 0,-1-1 0,0 1 0,1 1 0,0 0 0,11-4 0,6 1 0,0 1 0,1 1 0,0 1 0,47 1 0,-64 1 0,0 1 0,0 0 0,0 1 0,-1 0 0,1 1 0,0-1 0,0 2 0,-1-1 0,1 1 0,-1 1 0,0-1 0,0 1 0,0 1 0,0-1 0,-1 1 0,0 1 0,0-1 0,0 1 0,-1 1 0,7 8 0,-4-4 0,0 0 0,-2 1 0,1 0 0,-1 0 0,-1 1 0,0 0 0,-1 0 0,-1 0 0,0 1 0,4 27 0,-4-10 0,-2 0 0,-1 0 0,-7 61 0,5-86 0,0 1 0,0-1 0,-1 0 0,0 0 0,0 0 0,0 0 0,-1 0 0,0 0 0,0 0 0,-1-1 0,1 1 0,-1-1 0,-8 8 0,4-5 0,-1-1 0,0 0 0,0-1 0,0 0 0,-1 0 0,0-1 0,-15 5 0,-4 0 0,-1-2 0,0-1 0,-1-1 0,-57 3 0,74-7 0,0-2 0,0 0 0,0 0 0,0-1 0,0-1 0,-26-6 0,36 6 0,-1 0 0,1 0 0,0 0 0,0 0 0,0 0 0,1-1 0,-1 0 0,1 0 0,-1 0 0,1 0 0,0 0 0,0-1 0,0 1 0,1-1 0,-1 0 0,1 0 0,0 0 0,0 0 0,0 0 0,1-1 0,-1 1 0,1 0 0,0-1 0,0 1 0,0-5 0,-3-53 0,3 1 0,2-1 0,14-90 0,-13 131 0,1-15-96,-3 24-45,1 0 0,0 0 0,1 0 0,0 1 0,1-1 0,0 1 0,0-1 0,10-19 0,0 15-6685</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6:56:21.490"/>
    </inkml:context>
    <inkml:brush xml:id="br0">
      <inkml:brushProperty name="width" value="0.035" units="cm"/>
      <inkml:brushProperty name="height" value="0.035" units="cm"/>
      <inkml:brushProperty name="color" value="#E71224"/>
    </inkml:brush>
  </inkml:definitions>
  <inkml:trace contextRef="#ctx0" brushRef="#br0">110 267 24575,'3'48'0,"2"-1"0,3 0 0,1 0 0,20 58 0,3 16 0,37 122 0,-38-139 0,-46-184 0,4 53 0,-2 1 0,-1 1 0,-2 0 0,0 1 0,-26-28 0,24 29 0,0 0 0,1-2 0,1 0 0,1 0 0,-14-36 0,16 21 0,1-1 0,2 0 0,2-1 0,2 0 0,2 0 0,1-1 0,4-50 0,0 81 0,1 0 0,-1-1 0,2 1 0,0 0 0,0 0 0,1 0 0,7-14 0,-8 20 0,0 1 0,1 0 0,-1-1 0,1 2 0,0-1 0,0 0 0,0 1 0,1 0 0,0 0 0,-1 0 0,2 0 0,-1 1 0,0 0 0,1 0 0,-1 0 0,10-2 0,2 0 0,-1 1 0,0 0 0,1 1 0,0 1 0,-1 1 0,1 0 0,0 1 0,0 1 0,0 1 0,27 6 0,-36-6 0,-1 0 0,0 0 0,-1 1 0,1 0 0,0 0 0,-1 1 0,0 0 0,0 0 0,0 0 0,0 1 0,0 0 0,-1 0 0,0 0 0,0 1 0,-1 0 0,1 0 0,-1 0 0,-1 0 0,1 1 0,-1-1 0,0 1 0,0 0 0,-1 0 0,0 0 0,0 0 0,1 14 0,0 27 0,-2 0 0,-2 0 0,-2 0 0,-15 77 0,14-107 0,-2 0 0,0 0 0,-1-1 0,-1 0 0,-1 0 0,-15 21 0,2 1 0,21-38 0,0 0 0,1-1 0,-1 1 0,1 0 0,0 0 0,-1 0 0,1 0 0,0-1 0,-1 1 0,1 0 0,0 0 0,0 0 0,0 0 0,0 0 0,0 0 0,0 0 0,0 0 0,0-1 0,0 1 0,0 0 0,1 0 0,-1 0 0,0 0 0,1 0 0,-1 0 0,1 0 0,0 1 0,0-1 0,1 0 0,-1 0 0,0 0 0,1-1 0,-1 1 0,1 0 0,-1 0 0,1-1 0,-1 1 0,1-1 0,-1 1 0,1-1 0,1 0 0,12 2 0,0-2 0,29-1 0,-19 0 0,-19 1 0,0 0-1,-1 1 0,1 0 1,-1 0-1,1 1 1,-1 0-1,1-1 0,-1 2 1,0-1-1,0 1 0,0 0 1,0 0-1,-1 0 1,1 0-1,-1 1 0,0 0 1,0 0-1,0 0 1,3 5-1,5 8 23,-1 1 0,-1 0 0,15 39-1,-18-41-309,0 1 0,1-1 0,0 0 0,18 24 0,-14-28-6538</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6:56:24.554"/>
    </inkml:context>
    <inkml:brush xml:id="br0">
      <inkml:brushProperty name="width" value="0.035" units="cm"/>
      <inkml:brushProperty name="height" value="0.035" units="cm"/>
      <inkml:brushProperty name="color" value="#E71224"/>
    </inkml:brush>
  </inkml:definitions>
  <inkml:trace contextRef="#ctx0" brushRef="#br0">27 90 24575,'0'104'0,"25"700"0,-25-799 0,0 0 0,1 0 0,0 0 0,0 0 0,0 0 0,0 0 0,1 0 0,0 0 0,0-1 0,0 1 0,6 8 0,-6-12 0,0 1 0,0-1 0,-1 0 0,1 0 0,0 0 0,1 0 0,-1 0 0,0 0 0,0 0 0,0-1 0,0 1 0,1-1 0,-1 0 0,0 1 0,1-1 0,-1 0 0,0-1 0,0 1 0,1 0 0,-1 0 0,0-1 0,0 0 0,0 1 0,1-1 0,-1 0 0,0 0 0,0 0 0,2-2 0,59-23-101,-20 10-215,-1-3 0,-1-1 0,57-38 0,-84 48-6510</inkml:trace>
  <inkml:trace contextRef="#ctx0" brushRef="#br0" timeOffset="1131.08">1 619 24575,'0'-4'0,"4"-7"0,11 0 0,12 0 0,10 3 0,3-1 0,4 0 0,-1 2 0,-3 2 0,-4 1 0,-4 3 0,-3 0 0,-6-3 0,-2-2 0,-5 1-8191</inkml:trace>
  <inkml:trace contextRef="#ctx0" brushRef="#br0" timeOffset="2959.88">80 117 24575,'0'-3'0,"0"0"0,1-1 0,0 1 0,-1 0 0,1 0 0,1 0 0,-1-1 0,0 1 0,1 0 0,-1 1 0,1-1 0,0 0 0,0 0 0,0 1 0,0-1 0,1 1 0,-1 0 0,1-1 0,-1 1 0,1 0 0,0 1 0,0-1 0,0 0 0,0 1 0,0 0 0,0-1 0,0 1 0,0 1 0,0-1 0,5 0 0,11-3 0,1 1 0,0 1 0,34 0 0,-47 2 0,84 2 0,55-3 0,-136 0-195,0-1 0,0 0 0,0-1 0,-1 0 0,1 0 0,13-8 0,-1 0-6631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6:56:58.657"/>
    </inkml:context>
    <inkml:brush xml:id="br0">
      <inkml:brushProperty name="width" value="0.035" units="cm"/>
      <inkml:brushProperty name="height" value="0.035" units="cm"/>
      <inkml:brushProperty name="color" value="#E71224"/>
    </inkml:brush>
  </inkml:definitions>
  <inkml:trace contextRef="#ctx0" brushRef="#br0">1 0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6:57:04.208"/>
    </inkml:context>
    <inkml:brush xml:id="br0">
      <inkml:brushProperty name="width" value="0.035" units="cm"/>
      <inkml:brushProperty name="height" value="0.035" units="cm"/>
      <inkml:brushProperty name="color" value="#E71224"/>
    </inkml:brush>
  </inkml:definitions>
  <inkml:trace contextRef="#ctx0" brushRef="#br0">0 0 24143,'4952'0'0</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6:57:10.227"/>
    </inkml:context>
    <inkml:brush xml:id="br0">
      <inkml:brushProperty name="width" value="0.035" units="cm"/>
      <inkml:brushProperty name="height" value="0.035" units="cm"/>
      <inkml:brushProperty name="color" value="#E71224"/>
    </inkml:brush>
  </inkml:definitions>
  <inkml:trace contextRef="#ctx0" brushRef="#br0">1 0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6:57:22.251"/>
    </inkml:context>
    <inkml:brush xml:id="br0">
      <inkml:brushProperty name="width" value="0.035" units="cm"/>
      <inkml:brushProperty name="height" value="0.035" units="cm"/>
      <inkml:brushProperty name="color" value="#E71224"/>
    </inkml:brush>
  </inkml:definitions>
  <inkml:trace contextRef="#ctx0" brushRef="#br0">0 0 22754,'0'1456'0</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6:57:33.302"/>
    </inkml:context>
    <inkml:brush xml:id="br0">
      <inkml:brushProperty name="width" value="0.035" units="cm"/>
      <inkml:brushProperty name="height" value="0.035" units="cm"/>
      <inkml:brushProperty name="color" value="#E71224"/>
    </inkml:brush>
  </inkml:definitions>
  <inkml:trace contextRef="#ctx0" brushRef="#br0">4924 13 24063,'-4924'0'0</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6:57:54.669"/>
    </inkml:context>
    <inkml:brush xml:id="br0">
      <inkml:brushProperty name="width" value="0.035" units="cm"/>
      <inkml:brushProperty name="height" value="0.035" units="cm"/>
      <inkml:brushProperty name="color" value="#E71224"/>
    </inkml:brush>
  </inkml:definitions>
  <inkml:trace contextRef="#ctx0" brushRef="#br0">133 642 24575,'0'9'0,"0"12"0,0 11 0,0 5 0,0 5 0,0 5 0,0-2 0,0-3 0,0-10-8191</inkml:trace>
  <inkml:trace contextRef="#ctx0" brushRef="#br0" timeOffset="1188.12">1 536 24575,'4'0'0,"11"0"0,7 0 0,4 0 0,8 0 0,10 0 0,7 0 0,4 0 0,-2 0 0,-12 0-8191</inkml:trace>
  <inkml:trace contextRef="#ctx0" brushRef="#br0" timeOffset="2443.47">397 721 24575,'-1'-4'0,"1"-1"0,0 1 0,1-1 0,-1 1 0,1-1 0,-1 1 0,1 0 0,1-1 0,-1 1 0,1 0 0,-1 0 0,1 0 0,1 0 0,-1 0 0,0 0 0,1 0 0,0 1 0,3-4 0,-1 3 0,0 1 0,0 0 0,0 1 0,1-1 0,-1 1 0,1 0 0,-1 0 0,1 0 0,0 1 0,0 0 0,0 0 0,0 1 0,8 0 0,1-1 0,1 2 0,0 0 0,-1 0 0,1 2 0,-1 0 0,1 0 0,-1 2 0,29 12 0,-39-15 0,1 1 0,-1 0 0,0 0 0,0 0 0,0 1 0,0-1 0,0 1 0,-1 0 0,1 1 0,-1-1 0,0 1 0,-1 0 0,1 0 0,-1 0 0,0 0 0,0 1 0,-1-1 0,0 1 0,0 0 0,0-1 0,0 1 0,-1 0 0,0 0 0,0 0 0,-1 12 0,-1-5 0,0 1 0,-1-1 0,-1 1 0,-1-1 0,0 0 0,0 0 0,-1-1 0,-1 1 0,0-1 0,-1 0 0,0-1 0,-9 12 0,10-15 0,0-1 0,-1 0 0,0 0 0,0 0 0,-1-1 0,1 0 0,-1-1 0,-1 1 0,1-2 0,-1 1 0,0-1 0,0 0 0,0-1 0,0 0 0,-1-1 0,1 0 0,-16 2 0,-5-2 24,0-1 0,1-2 0,-1 0 0,-48-10 0,71 10-79,1-1 0,-1 0 0,1 0 0,-1 0 0,1-1 0,0 1 0,0-1 0,0-1 0,0 1 0,1-1 0,-1 0 0,1-1 0,0 1 0,0-1 0,1 0 0,-1 0 0,1-1 0,0 1 0,1-1 0,-1 0 0,1 0 0,0 0 0,1 0 0,0 0 0,-1-1 0,-1-10 0,1-5-6771</inkml:trace>
  <inkml:trace contextRef="#ctx0" brushRef="#br0" timeOffset="3570.56">1006 509 24575,'0'9'0,"0"17"0,0 12 0,4 5 0,2 4 0,0-2 0,-2-4 0,-1-4 0,-1-4 0,-1-3 0,0-3 0,-1 0 0,0-6-8191</inkml:trace>
  <inkml:trace contextRef="#ctx0" brushRef="#br0" timeOffset="4742.39">821 377 24575,'4'-4'0,"7"-2"0,5 0 0,5 1 0,3 2 0,2 1 0,5 1 0,3 0 0,-1 1 0,-1 0 0,-6 1-8191</inkml:trace>
  <inkml:trace contextRef="#ctx0" brushRef="#br0" timeOffset="5697.9">1350 456 24575,'0'9'0,"0"8"0,0 14 0,0 6 0,0 7 0,0-1 0,0-3 0,0 1 0,0-2 0,0-3 0,0-3 0,0-3 0,0-6-8191</inkml:trace>
  <inkml:trace contextRef="#ctx0" brushRef="#br0" timeOffset="6385.37">1350 430 24575,'13'5'0,"10"5"0,4 6 0,3 0 0,-4 7 0,3 30 0,1 39 0,-5 25 0,-2 2 0,-5-10 0,-5-24-8191</inkml:trace>
  <inkml:trace contextRef="#ctx0" brushRef="#br0" timeOffset="7372.25">1429 774 24575,'4'0'0,"7"0"0,5 0 0,5 0 0,3 0 0,2 0 0,2 0 0,-5 0-8191</inkml:trace>
  <inkml:trace contextRef="#ctx0" brushRef="#br0" timeOffset="8715.98">1667 298 24575,'4'0'0,"7"5"0,5 19 0,5 23 0,3 14 0,-2 13 0,-1 8 0,-4-1 0,-4-5 0,-5-11 0,1-17 0,3-16 0,4-14 0,9-10 0,4-6 0,2-3 0,0-2 0,-5-1-8191</inkml:trace>
  <inkml:trace contextRef="#ctx0" brushRef="#br0" timeOffset="10437.78">2461 456 24575,'-14'-5'0,"-1"-1"0,1 2 0,-1 0 0,1 1 0,-1 0 0,0 2 0,0-1 0,-1 2 0,1 0 0,-21 3 0,34-3 0,-1 1 0,0 0 0,1 0 0,-1-1 0,1 2 0,-1-1 0,1 0 0,-1 1 0,1-1 0,0 1 0,0-1 0,0 1 0,0 0 0,0 0 0,0 0 0,0 0 0,1 0 0,-3 4 0,1 0 0,0 0 0,1-1 0,0 1 0,0 0 0,0 0 0,1 0 0,0 0 0,-1 8 0,2-4 0,-1 0 0,1 0 0,1 0 0,0 0 0,0 0 0,1 0 0,0 0 0,1-1 0,0 1 0,6 11 0,2-1 0,1-1 0,-2 0 0,0 1 0,7 21 0,-15-34 0,0-1 0,-1 0 0,1 1 0,-1-1 0,-1 1 0,1-1 0,-1 1 0,0-1 0,-1 1 0,0-1 0,0 1 0,0-1 0,0 0 0,-5 12 0,-1-8 0,0-1 0,0 0 0,-1 0 0,0 0 0,-1-1 0,0 0 0,-14 9 0,12-8 0,-8 4-1365,2-3-5461</inkml:trace>
  <inkml:trace contextRef="#ctx0" brushRef="#br0" timeOffset="12458.02">2488 668 24575,'0'300'0,"3"-391"0,21-133 0,34-92 0,-45 252 0,-12 63 0,13-52 0,-14 52 0,1 0 0,-1 0 0,0 0 0,1 0 0,-1 0 0,1 1 0,-1-1 0,1 0 0,-1 0 0,1 0 0,0 1 0,-1-1 0,1 0 0,0 1 0,0-1 0,0 1 0,-1-1 0,2 0 0,-1 1 0,0 1 0,0-1 0,0 0 0,-1 0 0,1 1 0,0-1 0,-1 1 0,1-1 0,0 1 0,-1-1 0,1 1 0,0 0 0,-1-1 0,1 1 0,-1-1 0,1 1 0,-1 0 0,1 0 0,-1-1 0,0 1 0,1 0 0,-1 0 0,0 0 0,0-1 0,1 1 0,-1 1 0,34 138 0,27 90 0,-17-55 0,-15-91-14,-18-56-256,-1-1 0,-2 1-1,0 0 1,4 38 0,-13-57-6556</inkml:trace>
  <inkml:trace contextRef="#ctx0" brushRef="#br0" timeOffset="13587.91">2594 827 24575,'4'0'0,"6"0"0,7 0 0,3 0 0,0 0-8191</inkml:trace>
  <inkml:trace contextRef="#ctx0" brushRef="#br0" timeOffset="15087.84">2964 350 24575,'1'26'0,"1"0"0,8 30 0,-5-28 0,3 51 0,-7 191 0,-1-266 0,0 1 0,0-1 0,0 1 0,1-1 0,-1 0 0,1 1 0,0-1 0,1 0 0,-1 1 0,1-1 0,-1 0 0,1 0 0,1 0 0,-1-1 0,0 1 0,1 0 0,0-1 0,0 0 0,0 1 0,0-1 0,0 0 0,1-1 0,-1 1 0,1-1 0,0 1 0,0-1 0,0 0 0,0 0 0,0-1 0,0 1 0,1-1 0,-1 0 0,0 0 0,1-1 0,-1 1 0,0-1 0,1 0 0,-1 0 0,8-1 0,3 0-195,0 0 0,0-1 0,0-1 0,0 0 0,0-1 0,17-7 0,-4-2-6631</inkml:trace>
  <inkml:trace contextRef="#ctx0" brushRef="#br0" timeOffset="18586.52">3387 324 24575,'0'550'0,"-1"-544"0,1-1 0,1 1 0,-1-1 0,1 1 0,0 0 0,0-1 0,0 1 0,1-1 0,3 9 0,-4-13 0,0 1 0,1-1 0,-1 1 0,1-1 0,-1 0 0,1 1 0,-1-1 0,1 0 0,-1 0 0,1 0 0,0 0 0,0-1 0,-1 1 0,1 0 0,0-1 0,0 1 0,0-1 0,0 0 0,0 1 0,0-1 0,0 0 0,0 0 0,0 0 0,-1-1 0,1 1 0,0 0 0,0-1 0,0 1 0,0-1 0,3-1 0,15-5-273,1 0 0,-1-1 0,0-1 0,18-12 0,-10 3-6553</inkml:trace>
  <inkml:trace contextRef="#ctx0" brushRef="#br0" timeOffset="19414.62">3493 774 24575,'0'-4'0,"4"-2"0,7 0 0,5 1 0,0 2-8191</inkml:trace>
  <inkml:trace contextRef="#ctx0" brushRef="#br0" timeOffset="20388.93">3467 403 24575,'0'-4'0,"0"-7"0,4 0 0,7 0 0,5 3 0,4 3 0,0 2-8191</inkml:trace>
  <inkml:trace contextRef="#ctx0" brushRef="#br0" timeOffset="22786.14">3943 430 24575,'-56'-21'0,"52"21"0,0-1 0,1 1 0,-1 0 0,0 0 0,0 0 0,0 1 0,1-1 0,-1 1 0,0 0 0,1 0 0,-1 0 0,1 1 0,-1-1 0,1 1 0,-1 0 0,1 0 0,0 0 0,0 0 0,0 0 0,0 1 0,1 0 0,-1-1 0,0 1 0,1 0 0,0 0 0,0 0 0,0 1 0,0-1 0,0 0 0,1 1 0,-1-1 0,0 4 0,0-2 0,1 0 0,0-1 0,0 1 0,0 0 0,0 0 0,0 0 0,1 0 0,0 0 0,0 0 0,1-1 0,-1 1 0,1 0 0,0 0 0,0 0 0,1-1 0,0 1 0,-1 0 0,1-1 0,1 0 0,-1 1 0,1-1 0,-1 0 0,1 0 0,7 7 0,-1-4 0,1-1 0,-1 1 0,20 8 0,-23-13 0,0 1 0,-1 0 0,1-1 0,-1 2 0,0-1 0,0 1 0,0 0 0,0 0 0,-1 0 0,0 0 0,1 1 0,-2 0 0,1 0 0,0 0 0,-1 0 0,5 11 0,-3-2 0,-1 0 0,0 0 0,-1 1 0,0-1 0,-2 1 0,1 0 0,-2-1 0,0 1 0,-1 0 0,0 0 0,-4 16 0,4-25 0,-1 0 0,1 0 0,-1-1 0,0 1 0,-1 0 0,0-1 0,0 1 0,0-1 0,0 0 0,-1 0 0,0 0 0,0 0 0,0-1 0,-1 0 0,1 1 0,-1-2 0,0 1 0,0 0 0,0-1 0,-1 0 0,1-1 0,-1 1 0,0-1 0,0 0 0,1 0 0,-1-1 0,-1 1 0,-7 0 0,-13-1-1365,3-1-5461</inkml:trace>
  <inkml:trace contextRef="#ctx0" brushRef="#br0" timeOffset="43662.25">4234 509 24575,'0'-11'0,"1"1"0,1-1 0,0 0 0,0 1 0,1-1 0,1 1 0,-1 0 0,2 0 0,-1 0 0,11-15 0,-11 19 0,0-1 0,1 1 0,-1 1 0,1-1 0,0 1 0,1 0 0,-1 0 0,1 0 0,0 1 0,0 0 0,1 0 0,-1 1 0,1 0 0,-1 0 0,1 0 0,11-2 0,4 1 0,0 1 0,0 0 0,-1 2 0,1 1 0,0 1 0,0 1 0,0 0 0,40 11 0,-57-10 0,-1 0 0,0 0 0,1 0 0,-1 0 0,-1 1 0,1-1 0,0 1 0,-1 0 0,0 0 0,0 0 0,0 1 0,0-1 0,-1 1 0,0-1 0,0 1 0,0 0 0,0 0 0,-1 0 0,0 0 0,0 0 0,1 8 0,1 8 0,-2 1 0,0 0 0,-3 36 0,2-50 0,-1 0 0,0 1 0,-1-1 0,0 0 0,0 0 0,-1-1 0,0 1 0,0 0 0,-1-1 0,0 0 0,0 0 0,0 0 0,-1 0 0,0-1 0,-8 8 0,3-6 0,0 0 0,0-1 0,0 0 0,-1-1 0,0-1 0,0 1 0,-1-2 0,1 1 0,-19 3 0,5 0 0,13-3 0,-1-1 0,0-1 0,-20 3 0,31-5 0,0-1 0,0 0 0,0 0 0,0 0 0,0 0 0,0 0 0,0 0 0,-1 0 0,1-1 0,0 1 0,0-1 0,1 1 0,-1-1 0,0 0 0,0 0 0,0 0 0,0 0 0,1 0 0,-1 0 0,0 0 0,1-1 0,-1 1 0,1-1 0,-1 1 0,1-1 0,0 0 0,0 1 0,-2-4 0,-3-15-90,2 0 1,0 0-1,1 0 0,1-1 0,0 1 0,2-1 0,2-21 0,-1 24-556,0-13-6180</inkml:trace>
  <inkml:trace contextRef="#ctx0" brushRef="#br0" timeOffset="46635.05">4102 403 24575,'8'-156'0,"-6"134"0,2 1 0,0 0 0,2 0 0,0 0 0,11-23 0,-13 37 0,-1 1 0,2 0 0,-1 0 0,1 0 0,0 1 0,0-1 0,0 1 0,1 0 0,0 1 0,0 0 0,0-1 0,0 2 0,1-1 0,-1 1 0,1 0 0,0 0 0,0 1 0,0 0 0,0 0 0,13-1 0,14-1 0,0 2 0,0 1 0,43 5 0,-21-2 0,-32-2 0,-9 0 0,1 0 0,0 2 0,26 4 0,-36-4 0,-1-1 0,1 1 0,-1 1 0,0-1 0,0 1 0,0-1 0,-1 1 0,1 1 0,0-1 0,-1 1 0,0 0 0,0 0 0,0 0 0,4 7 0,15 26 0,-1 1 0,28 68 0,-13-26 0,-30-62 0,-1 1 0,0-1 0,-2 1 0,0 0 0,0 0 0,-2 0 0,-1 0 0,0 0 0,-1 1 0,-1-1 0,-1 0 0,-1 0 0,-1 0 0,0 0 0,-1-1 0,-10 23 0,9-27 0,0 0 0,-1-1 0,-1 1 0,0-1 0,0-1 0,-2 0 0,-12 14 0,14-19 0,1 0 0,-1-1 0,-1 0 0,1 0 0,-1-1 0,0 0 0,0 0 0,-1-1 0,1-1 0,-1 1 0,-15 2 0,-3 0 0,-105 17 0,115-20 0,-1-2 0,0 0 0,1-2 0,-1 0 0,-20-3 0,33 2 0,0 0 0,0-1 0,0 1 0,0-1 0,0 0 0,0 0 0,1-1 0,-1 0 0,1 0 0,0 0 0,1-1 0,-1 1 0,1-1 0,-5-7 0,-8-11 0,1-1 0,-12-28 0,-1 1 0,-20-15 0,40 57 0,1-1 0,0 0 0,0-1 0,1 0 0,0 0 0,1 0 0,1-1 0,-1 1 0,2-2 0,0 1 0,0 0 0,-2-19 0,4 14-227,1-1-1,1 0 1,1 0-1,0 1 1,8-34-1,-3 34-6598</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6:59:09.967"/>
    </inkml:context>
    <inkml:brush xml:id="br0">
      <inkml:brushProperty name="width" value="0.035" units="cm"/>
      <inkml:brushProperty name="height" value="0.035" units="cm"/>
      <inkml:brushProperty name="color" value="#E71224"/>
    </inkml:brush>
  </inkml:definitions>
  <inkml:trace contextRef="#ctx0" brushRef="#br0">0 0 23380,'0'4314'0</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6:59:51.510"/>
    </inkml:context>
    <inkml:brush xml:id="br0">
      <inkml:brushProperty name="width" value="0.035" units="cm"/>
      <inkml:brushProperty name="height" value="0.035" units="cm"/>
      <inkml:brushProperty name="color" value="#E71224"/>
    </inkml:brush>
  </inkml:definitions>
  <inkml:trace contextRef="#ctx0" brushRef="#br0">0 0 23380,'4950'0'0</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00:15.899"/>
    </inkml:context>
    <inkml:brush xml:id="br0">
      <inkml:brushProperty name="width" value="0.035" units="cm"/>
      <inkml:brushProperty name="height" value="0.035" units="cm"/>
      <inkml:brushProperty name="color" value="#E71224"/>
    </inkml:brush>
  </inkml:definitions>
  <inkml:trace contextRef="#ctx0" brushRef="#br0">0 0 23619,'0'4182'0</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01:49.569"/>
    </inkml:context>
    <inkml:brush xml:id="br0">
      <inkml:brushProperty name="width" value="0.035" units="cm"/>
      <inkml:brushProperty name="height" value="0.035" units="cm"/>
      <inkml:brushProperty name="color" value="#E71224"/>
    </inkml:brush>
  </inkml:definitions>
  <inkml:trace contextRef="#ctx0" brushRef="#br0">1 0 24575</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01:51.525"/>
    </inkml:context>
    <inkml:brush xml:id="br0">
      <inkml:brushProperty name="width" value="0.035" units="cm"/>
      <inkml:brushProperty name="height" value="0.035" units="cm"/>
      <inkml:brushProperty name="color" value="#E71224"/>
    </inkml:brush>
  </inkml:definitions>
  <inkml:trace contextRef="#ctx0" brushRef="#br0">0 0 21389,'4817'0'0</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02:15.726"/>
    </inkml:context>
    <inkml:brush xml:id="br0">
      <inkml:brushProperty name="width" value="0.035" units="cm"/>
      <inkml:brushProperty name="height" value="0.035" units="cm"/>
      <inkml:brushProperty name="color" value="#E71224"/>
    </inkml:brush>
  </inkml:definitions>
  <inkml:trace contextRef="#ctx0" brushRef="#br0">0 0 23989,'4845'0'0</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02:46.033"/>
    </inkml:context>
    <inkml:brush xml:id="br0">
      <inkml:brushProperty name="width" value="0.035" units="cm"/>
      <inkml:brushProperty name="height" value="0.035" units="cm"/>
      <inkml:brushProperty name="color" value="#E71224"/>
    </inkml:brush>
  </inkml:definitions>
  <inkml:trace contextRef="#ctx0" brushRef="#br0">0 0 24143,'4764'0'0</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02:57.958"/>
    </inkml:context>
    <inkml:brush xml:id="br0">
      <inkml:brushProperty name="width" value="0.035" units="cm"/>
      <inkml:brushProperty name="height" value="0.035" units="cm"/>
      <inkml:brushProperty name="color" value="#E71224"/>
    </inkml:brush>
  </inkml:definitions>
  <inkml:trace contextRef="#ctx0" brushRef="#br0">0 0 24119,'4737'0'0</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03:05.083"/>
    </inkml:context>
    <inkml:brush xml:id="br0">
      <inkml:brushProperty name="width" value="0.035" units="cm"/>
      <inkml:brushProperty name="height" value="0.035" units="cm"/>
      <inkml:brushProperty name="color" value="#E71224"/>
    </inkml:brush>
  </inkml:definitions>
  <inkml:trace contextRef="#ctx0" brushRef="#br0">0 0 22816,'0'9899'0</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03:53.736"/>
    </inkml:context>
    <inkml:brush xml:id="br0">
      <inkml:brushProperty name="width" value="0.035" units="cm"/>
      <inkml:brushProperty name="height" value="0.035" units="cm"/>
      <inkml:brushProperty name="color" value="#E71224"/>
    </inkml:brush>
  </inkml:definitions>
  <inkml:trace contextRef="#ctx0" brushRef="#br0">0 0 24119,'4896'0'0</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04:10.846"/>
    </inkml:context>
    <inkml:brush xml:id="br0">
      <inkml:brushProperty name="width" value="0.035" units="cm"/>
      <inkml:brushProperty name="height" value="0.035" units="cm"/>
      <inkml:brushProperty name="color" value="#E71224"/>
    </inkml:brush>
  </inkml:definitions>
  <inkml:trace contextRef="#ctx0" brushRef="#br0">0 0 22663,'0'9843'0</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05:00.694"/>
    </inkml:context>
    <inkml:brush xml:id="br0">
      <inkml:brushProperty name="width" value="0.035" units="cm"/>
      <inkml:brushProperty name="height" value="0.035" units="cm"/>
      <inkml:brushProperty name="color" value="#E71224"/>
    </inkml:brush>
  </inkml:definitions>
  <inkml:trace contextRef="#ctx0" brushRef="#br0">0 0 22982,'4842'0'0</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05:22.675"/>
    </inkml:context>
    <inkml:brush xml:id="br0">
      <inkml:brushProperty name="width" value="0.035" units="cm"/>
      <inkml:brushProperty name="height" value="0.035" units="cm"/>
      <inkml:brushProperty name="color" value="#E71224"/>
    </inkml:brush>
  </inkml:definitions>
  <inkml:trace contextRef="#ctx0" brushRef="#br0">0 0 24063,'4737'0'0</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05:33.748"/>
    </inkml:context>
    <inkml:brush xml:id="br0">
      <inkml:brushProperty name="width" value="0.035" units="cm"/>
      <inkml:brushProperty name="height" value="0.035" units="cm"/>
      <inkml:brushProperty name="color" value="#E71224"/>
    </inkml:brush>
  </inkml:definitions>
  <inkml:trace contextRef="#ctx0" brushRef="#br0">0 0 24119,'4711'0'0</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05:40.435"/>
    </inkml:context>
    <inkml:brush xml:id="br0">
      <inkml:brushProperty name="width" value="0.035" units="cm"/>
      <inkml:brushProperty name="height" value="0.035" units="cm"/>
      <inkml:brushProperty name="color" value="#E71224"/>
    </inkml:brush>
  </inkml:definitions>
  <inkml:trace contextRef="#ctx0" brushRef="#br0">0 0 24063,'4796'0'0</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06:25.279"/>
    </inkml:context>
    <inkml:brush xml:id="br0">
      <inkml:brushProperty name="width" value="0.035" units="cm"/>
      <inkml:brushProperty name="height" value="0.035" units="cm"/>
      <inkml:brushProperty name="color" value="#E71224"/>
    </inkml:brush>
  </inkml:definitions>
  <inkml:trace contextRef="#ctx0" brushRef="#br0">0 0 24119,'4870'0'0</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06:35.073"/>
    </inkml:context>
    <inkml:brush xml:id="br0">
      <inkml:brushProperty name="width" value="0.035" units="cm"/>
      <inkml:brushProperty name="height" value="0.035" units="cm"/>
      <inkml:brushProperty name="color" value="#E71224"/>
    </inkml:brush>
  </inkml:definitions>
  <inkml:trace contextRef="#ctx0" brushRef="#br0">0 0 24119,'4791'0'0</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06:54.372"/>
    </inkml:context>
    <inkml:brush xml:id="br0">
      <inkml:brushProperty name="width" value="0.035" units="cm"/>
      <inkml:brushProperty name="height" value="0.035" units="cm"/>
      <inkml:brushProperty name="color" value="#E71224"/>
    </inkml:brush>
  </inkml:definitions>
  <inkml:trace contextRef="#ctx0" brushRef="#br0">0 0 24367,'4873'0'0</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08:05.782"/>
    </inkml:context>
    <inkml:brush xml:id="br0">
      <inkml:brushProperty name="width" value="0.035" units="cm"/>
      <inkml:brushProperty name="height" value="0.035" units="cm"/>
      <inkml:brushProperty name="color" value="#E71224"/>
    </inkml:brush>
  </inkml:definitions>
  <inkml:trace contextRef="#ctx0" brushRef="#br0">0 0 21389,'5611'0'0</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08:30.613"/>
    </inkml:context>
    <inkml:brush xml:id="br0">
      <inkml:brushProperty name="width" value="0.035" units="cm"/>
      <inkml:brushProperty name="height" value="0.035" units="cm"/>
      <inkml:brushProperty name="color" value="#E71224"/>
    </inkml:brush>
  </inkml:definitions>
  <inkml:trace contextRef="#ctx0" brushRef="#br0">0 0 24063,'0'4844'0</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08:58.963"/>
    </inkml:context>
    <inkml:brush xml:id="br0">
      <inkml:brushProperty name="width" value="0.035" units="cm"/>
      <inkml:brushProperty name="height" value="0.035" units="cm"/>
      <inkml:brushProperty name="color" value="#E71224"/>
    </inkml:brush>
  </inkml:definitions>
  <inkml:trace contextRef="#ctx0" brushRef="#br0">5691 15 23126,'-5691'0'0</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09:27.099"/>
    </inkml:context>
    <inkml:brush xml:id="br0">
      <inkml:brushProperty name="width" value="0.035" units="cm"/>
      <inkml:brushProperty name="height" value="0.035" units="cm"/>
      <inkml:brushProperty name="color" value="#E71224"/>
    </inkml:brush>
  </inkml:definitions>
  <inkml:trace contextRef="#ctx0" brushRef="#br0">0 0 24028,'0'5318'0</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09:49.820"/>
    </inkml:context>
    <inkml:brush xml:id="br0">
      <inkml:brushProperty name="width" value="0.035" units="cm"/>
      <inkml:brushProperty name="height" value="0.035" units="cm"/>
      <inkml:brushProperty name="color" value="#E71224"/>
    </inkml:brush>
  </inkml:definitions>
  <inkml:trace contextRef="#ctx0" brushRef="#br0">5637 29 23437,'-5637'0'0</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09:55.817"/>
    </inkml:context>
    <inkml:brush xml:id="br0">
      <inkml:brushProperty name="width" value="0.035" units="cm"/>
      <inkml:brushProperty name="height" value="0.035" units="cm"/>
      <inkml:brushProperty name="color" value="#E71224"/>
    </inkml:brush>
  </inkml:definitions>
  <inkml:trace contextRef="#ctx0" brushRef="#br0">0 0 22186,'0'4023'0</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10:03.615"/>
    </inkml:context>
    <inkml:brush xml:id="br0">
      <inkml:brushProperty name="width" value="0.035" units="cm"/>
      <inkml:brushProperty name="height" value="0.035" units="cm"/>
      <inkml:brushProperty name="color" value="#E71224"/>
    </inkml:brush>
  </inkml:definitions>
  <inkml:trace contextRef="#ctx0" brushRef="#br0">5612 13 24028,'-5612'0'0</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10:47.882"/>
    </inkml:context>
    <inkml:brush xml:id="br0">
      <inkml:brushProperty name="width" value="0.035" units="cm"/>
      <inkml:brushProperty name="height" value="0.035" units="cm"/>
      <inkml:brushProperty name="color" value="#E71224"/>
    </inkml:brush>
  </inkml:definitions>
  <inkml:trace contextRef="#ctx0" brushRef="#br0">0 0 21389,'8577'0'0</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10:55.283"/>
    </inkml:context>
    <inkml:brush xml:id="br0">
      <inkml:brushProperty name="width" value="0.035" units="cm"/>
      <inkml:brushProperty name="height" value="0.035" units="cm"/>
      <inkml:brushProperty name="color" value="#E71224"/>
    </inkml:brush>
  </inkml:definitions>
  <inkml:trace contextRef="#ctx0" brushRef="#br0">0 0 23607,'0'4234'0</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11:21.925"/>
    </inkml:context>
    <inkml:brush xml:id="br0">
      <inkml:brushProperty name="width" value="0.035" units="cm"/>
      <inkml:brushProperty name="height" value="0.035" units="cm"/>
      <inkml:brushProperty name="color" value="#E71224"/>
    </inkml:brush>
  </inkml:definitions>
  <inkml:trace contextRef="#ctx0" brushRef="#br0">8548 1 23245,'-8547'0'0</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11:34.193"/>
    </inkml:context>
    <inkml:brush xml:id="br0">
      <inkml:brushProperty name="width" value="0.035" units="cm"/>
      <inkml:brushProperty name="height" value="0.035" units="cm"/>
      <inkml:brushProperty name="color" value="#E71224"/>
    </inkml:brush>
  </inkml:definitions>
  <inkml:trace contextRef="#ctx0" brushRef="#br0">0 0 22186,'0'4392'0</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12:53.157"/>
    </inkml:context>
    <inkml:brush xml:id="br0">
      <inkml:brushProperty name="width" value="0.035" units="cm"/>
      <inkml:brushProperty name="height" value="0.035" units="cm"/>
      <inkml:brushProperty name="color" value="#E71224"/>
    </inkml:brush>
  </inkml:definitions>
  <inkml:trace contextRef="#ctx0" brushRef="#br0">0 0 23806,'13180'0'0</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13:35.981"/>
    </inkml:context>
    <inkml:brush xml:id="br0">
      <inkml:brushProperty name="width" value="0.035" units="cm"/>
      <inkml:brushProperty name="height" value="0.035" units="cm"/>
      <inkml:brushProperty name="color" value="#E71224"/>
    </inkml:brush>
  </inkml:definitions>
  <inkml:trace contextRef="#ctx0" brushRef="#br0">0 0 23686,'0'4711'0</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13:42.662"/>
    </inkml:context>
    <inkml:brush xml:id="br0">
      <inkml:brushProperty name="width" value="0.035" units="cm"/>
      <inkml:brushProperty name="height" value="0.035" units="cm"/>
      <inkml:brushProperty name="color" value="#E71224"/>
    </inkml:brush>
  </inkml:definitions>
  <inkml:trace contextRef="#ctx0" brushRef="#br0">13130 1 21389,'-13129'0'0</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13:50.442"/>
    </inkml:context>
    <inkml:brush xml:id="br0">
      <inkml:brushProperty name="width" value="0.035" units="cm"/>
      <inkml:brushProperty name="height" value="0.035" units="cm"/>
      <inkml:brushProperty name="color" value="#E71224"/>
    </inkml:brush>
  </inkml:definitions>
  <inkml:trace contextRef="#ctx0" brushRef="#br0">0 0 23628,'0'4842'0</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14:45.075"/>
    </inkml:context>
    <inkml:brush xml:id="br0">
      <inkml:brushProperty name="width" value="0.035" units="cm"/>
      <inkml:brushProperty name="height" value="0.035" units="cm"/>
      <inkml:brushProperty name="color" value="#E71224"/>
    </inkml:brush>
  </inkml:definitions>
  <inkml:trace contextRef="#ctx0" brushRef="#br0">0 0 24124,'8443'0'0</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14:54.189"/>
    </inkml:context>
    <inkml:brush xml:id="br0">
      <inkml:brushProperty name="width" value="0.035" units="cm"/>
      <inkml:brushProperty name="height" value="0.035" units="cm"/>
      <inkml:brushProperty name="color" value="#E71224"/>
    </inkml:brush>
  </inkml:definitions>
  <inkml:trace contextRef="#ctx0" brushRef="#br0">1 0 24575</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15:01.193"/>
    </inkml:context>
    <inkml:brush xml:id="br0">
      <inkml:brushProperty name="width" value="0.035" units="cm"/>
      <inkml:brushProperty name="height" value="0.035" units="cm"/>
      <inkml:brushProperty name="color" value="#E71224"/>
    </inkml:brush>
  </inkml:definitions>
  <inkml:trace contextRef="#ctx0" brushRef="#br0">0 0 24119,'0'4685'0</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15:29.089"/>
    </inkml:context>
    <inkml:brush xml:id="br0">
      <inkml:brushProperty name="width" value="0.035" units="cm"/>
      <inkml:brushProperty name="height" value="0.035" units="cm"/>
      <inkml:brushProperty name="color" value="#E71224"/>
    </inkml:brush>
  </inkml:definitions>
  <inkml:trace contextRef="#ctx0" brushRef="#br0">8416 29 24072,'-8416'0'0</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15:37.712"/>
    </inkml:context>
    <inkml:brush xml:id="br0">
      <inkml:brushProperty name="width" value="0.035" units="cm"/>
      <inkml:brushProperty name="height" value="0.035" units="cm"/>
      <inkml:brushProperty name="color" value="#E71224"/>
    </inkml:brush>
  </inkml:definitions>
  <inkml:trace contextRef="#ctx0" brushRef="#br0">0 0 22663,'0'4683'0</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16:16.440"/>
    </inkml:context>
    <inkml:brush xml:id="br0">
      <inkml:brushProperty name="width" value="0.035" units="cm"/>
      <inkml:brushProperty name="height" value="0.035" units="cm"/>
      <inkml:brushProperty name="color" value="#E71224"/>
    </inkml:brush>
  </inkml:definitions>
  <inkml:trace contextRef="#ctx0" brushRef="#br0">0 0 23608,'10114'0'0</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16:22.051"/>
    </inkml:context>
    <inkml:brush xml:id="br0">
      <inkml:brushProperty name="width" value="0.035" units="cm"/>
      <inkml:brushProperty name="height" value="0.035" units="cm"/>
      <inkml:brushProperty name="color" value="#E71224"/>
    </inkml:brush>
  </inkml:definitions>
  <inkml:trace contextRef="#ctx0" brushRef="#br0">0 0 24143,'0'3810'0</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16:30.296"/>
    </inkml:context>
    <inkml:brush xml:id="br0">
      <inkml:brushProperty name="width" value="0.035" units="cm"/>
      <inkml:brushProperty name="height" value="0.035" units="cm"/>
      <inkml:brushProperty name="color" value="#E71224"/>
    </inkml:brush>
  </inkml:definitions>
  <inkml:trace contextRef="#ctx0" brushRef="#br0">10162 1 24093,'-10161'0'0</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16:35.946"/>
    </inkml:context>
    <inkml:brush xml:id="br0">
      <inkml:brushProperty name="width" value="0.035" units="cm"/>
      <inkml:brushProperty name="height" value="0.035" units="cm"/>
      <inkml:brushProperty name="color" value="#E71224"/>
    </inkml:brush>
  </inkml:definitions>
  <inkml:trace contextRef="#ctx0" brushRef="#br0">0 0 23989,'0'3944'0</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17:05.613"/>
    </inkml:context>
    <inkml:brush xml:id="br0">
      <inkml:brushProperty name="width" value="0.035" units="cm"/>
      <inkml:brushProperty name="height" value="0.035" units="cm"/>
      <inkml:brushProperty name="color" value="#E71224"/>
    </inkml:brush>
  </inkml:definitions>
  <inkml:trace contextRef="#ctx0" brushRef="#br0">1 0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17:11.259"/>
    </inkml:context>
    <inkml:brush xml:id="br0">
      <inkml:brushProperty name="width" value="0.035" units="cm"/>
      <inkml:brushProperty name="height" value="0.035" units="cm"/>
      <inkml:brushProperty name="color" value="#E71224"/>
    </inkml:brush>
  </inkml:definitions>
  <inkml:trace contextRef="#ctx0" brushRef="#br0">0 0 21389,'11778'0'0</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17:37.304"/>
    </inkml:context>
    <inkml:brush xml:id="br0">
      <inkml:brushProperty name="width" value="0.035" units="cm"/>
      <inkml:brushProperty name="height" value="0.035" units="cm"/>
      <inkml:brushProperty name="color" value="#E71224"/>
    </inkml:brush>
  </inkml:definitions>
  <inkml:trace contextRef="#ctx0" brushRef="#br0">0 0 24143,'0'4367'0</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17:56"/>
    </inkml:context>
    <inkml:brush xml:id="br0">
      <inkml:brushProperty name="width" value="0.035" units="cm"/>
      <inkml:brushProperty name="height" value="0.035" units="cm"/>
      <inkml:brushProperty name="color" value="#E71224"/>
    </inkml:brush>
  </inkml:definitions>
  <inkml:trace contextRef="#ctx0" brushRef="#br0">11703 15 22982,'-11702'0'0</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18:08.897"/>
    </inkml:context>
    <inkml:brush xml:id="br0">
      <inkml:brushProperty name="width" value="0.035" units="cm"/>
      <inkml:brushProperty name="height" value="0.035" units="cm"/>
      <inkml:brushProperty name="color" value="#E71224"/>
    </inkml:brush>
  </inkml:definitions>
  <inkml:trace contextRef="#ctx0" brushRef="#br0">0 0 22663,'0'4446'0</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18:37.464"/>
    </inkml:context>
    <inkml:brush xml:id="br0">
      <inkml:brushProperty name="width" value="0.035" units="cm"/>
      <inkml:brushProperty name="height" value="0.035" units="cm"/>
      <inkml:brushProperty name="color" value="#E71224"/>
    </inkml:brush>
  </inkml:definitions>
  <inkml:trace contextRef="#ctx0" brushRef="#br0">0 0 23619,'7807'0'0</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19:04.774"/>
    </inkml:context>
    <inkml:brush xml:id="br0">
      <inkml:brushProperty name="width" value="0.035" units="cm"/>
      <inkml:brushProperty name="height" value="0.035" units="cm"/>
      <inkml:brushProperty name="color" value="#E71224"/>
    </inkml:brush>
  </inkml:definitions>
  <inkml:trace contextRef="#ctx0" brushRef="#br0">0 0 21389,'0'8417'0</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19:14.698"/>
    </inkml:context>
    <inkml:brush xml:id="br0">
      <inkml:brushProperty name="width" value="0.035" units="cm"/>
      <inkml:brushProperty name="height" value="0.035" units="cm"/>
      <inkml:brushProperty name="color" value="#E71224"/>
    </inkml:brush>
  </inkml:definitions>
  <inkml:trace contextRef="#ctx0" brushRef="#br0">7598 16 23989,'-7598'0'0</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19:19.770"/>
    </inkml:context>
    <inkml:brush xml:id="br0">
      <inkml:brushProperty name="width" value="0.035" units="cm"/>
      <inkml:brushProperty name="height" value="0.035" units="cm"/>
      <inkml:brushProperty name="color" value="#E71224"/>
    </inkml:brush>
  </inkml:definitions>
  <inkml:trace contextRef="#ctx0" brushRef="#br0">0 0 24028,'0'8421'0</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19:24.688"/>
    </inkml:context>
    <inkml:brush xml:id="br0">
      <inkml:brushProperty name="width" value="0.035" units="cm"/>
      <inkml:brushProperty name="height" value="0.035" units="cm"/>
      <inkml:brushProperty name="color" value="#E71224"/>
    </inkml:brush>
  </inkml:definitions>
  <inkml:trace contextRef="#ctx0" brushRef="#br0">229 1 24575,'-5'0'0,"-5"0"0,-6 0 0,-5 0 0,-3 0 0,-2 0 0,-6 0 0,-1 0 0,-1 0 0,7 0-8191</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19:43.885"/>
    </inkml:context>
    <inkml:brush xml:id="br0">
      <inkml:brushProperty name="width" value="0.035" units="cm"/>
      <inkml:brushProperty name="height" value="0.035" units="cm"/>
      <inkml:brushProperty name="color" value="#E71224"/>
    </inkml:brush>
  </inkml:definitions>
  <inkml:trace contextRef="#ctx0" brushRef="#br0">0 0 23989,'21276'0'0</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19:50.040"/>
    </inkml:context>
    <inkml:brush xml:id="br0">
      <inkml:brushProperty name="width" value="0.035" units="cm"/>
      <inkml:brushProperty name="height" value="0.035" units="cm"/>
      <inkml:brushProperty name="color" value="#E71224"/>
    </inkml:brush>
  </inkml:definitions>
  <inkml:trace contextRef="#ctx0" brushRef="#br0">0 0 24119,'0'3388'0</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20:18.713"/>
    </inkml:context>
    <inkml:brush xml:id="br0">
      <inkml:brushProperty name="width" value="0.035" units="cm"/>
      <inkml:brushProperty name="height" value="0.035" units="cm"/>
      <inkml:brushProperty name="color" value="#E71224"/>
    </inkml:brush>
  </inkml:definitions>
  <inkml:trace contextRef="#ctx0" brushRef="#br0">21406 13 22663,'-21406'0'0</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07:20:25.357"/>
    </inkml:context>
    <inkml:brush xml:id="br0">
      <inkml:brushProperty name="width" value="0.035" units="cm"/>
      <inkml:brushProperty name="height" value="0.035" units="cm"/>
      <inkml:brushProperty name="color" value="#E71224"/>
    </inkml:brush>
  </inkml:definitions>
  <inkml:trace contextRef="#ctx0" brushRef="#br0">0 0 24063,'0'3388'0</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dasir Ahmed" refreshedDate="46211.546184143517" createdVersion="8" refreshedVersion="8" minRefreshableVersion="3" recordCount="200" xr:uid="{7304FA8C-A28C-43DE-AA53-8A4D77884558}">
  <cacheSource type="worksheet">
    <worksheetSource ref="A3:K203" sheet="Sales Data"/>
  </cacheSource>
  <cacheFields count="11">
    <cacheField name="Transaction ID" numFmtId="0">
      <sharedItems/>
    </cacheField>
    <cacheField name="Date" numFmtId="0">
      <sharedItems count="84">
        <s v="2026-02-02"/>
        <s v="2026-03-03"/>
        <s v="2026-04-04"/>
        <s v="2026-05-05"/>
        <s v="2026-06-06"/>
        <s v="2026-01-07"/>
        <s v="2026-02-08"/>
        <s v="2026-03-09"/>
        <s v="2026-04-10"/>
        <s v="2026-05-11"/>
        <s v="2026-06-12"/>
        <s v="2026-01-13"/>
        <s v="2026-02-14"/>
        <s v="2026-03-15"/>
        <s v="2026-04-16"/>
        <s v="2026-05-17"/>
        <s v="2026-06-18"/>
        <s v="2026-01-19"/>
        <s v="2026-02-20"/>
        <s v="2026-03-21"/>
        <s v="2026-04-22"/>
        <s v="2026-05-23"/>
        <s v="2026-06-24"/>
        <s v="2026-01-25"/>
        <s v="2026-02-26"/>
        <s v="2026-03-27"/>
        <s v="2026-04-28"/>
        <s v="2026-05-01"/>
        <s v="2026-06-02"/>
        <s v="2026-01-03"/>
        <s v="2026-02-04"/>
        <s v="2026-03-05"/>
        <s v="2026-04-06"/>
        <s v="2026-05-07"/>
        <s v="2026-06-08"/>
        <s v="2026-01-09"/>
        <s v="2026-02-10"/>
        <s v="2026-03-11"/>
        <s v="2026-04-12"/>
        <s v="2026-05-13"/>
        <s v="2026-06-14"/>
        <s v="2026-01-15"/>
        <s v="2026-02-16"/>
        <s v="2026-03-17"/>
        <s v="2026-04-18"/>
        <s v="2026-05-19"/>
        <s v="2026-06-20"/>
        <s v="2026-01-21"/>
        <s v="2026-02-22"/>
        <s v="2026-03-23"/>
        <s v="2026-04-24"/>
        <s v="2026-05-25"/>
        <s v="2026-06-26"/>
        <s v="2026-01-27"/>
        <s v="2026-02-28"/>
        <s v="2026-03-01"/>
        <s v="2026-04-02"/>
        <s v="2026-05-03"/>
        <s v="2026-06-04"/>
        <s v="2026-01-05"/>
        <s v="2026-02-06"/>
        <s v="2026-03-07"/>
        <s v="2026-04-08"/>
        <s v="2026-05-09"/>
        <s v="2026-06-10"/>
        <s v="2026-01-11"/>
        <s v="2026-02-12"/>
        <s v="2026-03-13"/>
        <s v="2026-04-14"/>
        <s v="2026-05-15"/>
        <s v="2026-06-16"/>
        <s v="2026-01-17"/>
        <s v="2026-02-18"/>
        <s v="2026-03-19"/>
        <s v="2026-04-20"/>
        <s v="2026-05-21"/>
        <s v="2026-06-22"/>
        <s v="2026-01-23"/>
        <s v="2026-02-24"/>
        <s v="2026-03-25"/>
        <s v="2026-04-26"/>
        <s v="2026-05-27"/>
        <s v="2026-06-28"/>
        <s v="2026-01-01"/>
      </sharedItems>
    </cacheField>
    <cacheField name="Month" numFmtId="0">
      <sharedItems count="6">
        <s v="February"/>
        <s v="March"/>
        <s v="April"/>
        <s v="May"/>
        <s v="June"/>
        <s v="January"/>
      </sharedItems>
    </cacheField>
    <cacheField name="Sales Rep" numFmtId="0">
      <sharedItems count="12">
        <s v="Robert Brown"/>
        <s v="Chris Anderson"/>
        <s v="Amanda Thomas"/>
        <s v="Sarah Connor"/>
        <s v="Lisa Martinez"/>
        <s v="David Lee"/>
        <s v="Joshua Jackson"/>
        <s v="Mike Johnson"/>
        <s v="Emily Davis"/>
        <s v="Jennifer Taylor"/>
        <s v="Ashley White"/>
        <s v="James Wilson"/>
      </sharedItems>
    </cacheField>
    <cacheField name="Region" numFmtId="0">
      <sharedItems count="4">
        <s v="South"/>
        <s v="East"/>
        <s v="West"/>
        <s v="North"/>
      </sharedItems>
    </cacheField>
    <cacheField name="Product Category" numFmtId="0">
      <sharedItems count="5">
        <s v="Clothing"/>
        <s v="Home Appliances"/>
        <s v="Beauty"/>
        <s v="Sports"/>
        <s v="Electronics"/>
      </sharedItems>
    </cacheField>
    <cacheField name="Product" numFmtId="0">
      <sharedItems count="30">
        <s v="Levi Jeans"/>
        <s v="Instant Pot"/>
        <s v="Tatcha Serum"/>
        <s v="TRX System"/>
        <s v="Sony Headphones"/>
        <s v="Nike Hoodie"/>
        <s v="KitchenAid Mixer"/>
        <s v="MAC Lipstick"/>
        <s v="Yeti Cooler"/>
        <s v="Dell Laptop"/>
        <s v="Ralph Lauren Polo"/>
        <s v="Dyson Vacuum"/>
        <s v="Dior Perfume"/>
        <s v="Garmin Watch"/>
        <s v="AirPods Pro"/>
        <s v="Jordan Sneakers"/>
        <s v="Weber Grill"/>
        <s v="Fenty Foundation"/>
        <s v="Bowflex Dumbbells"/>
        <s v="Samsung TV"/>
        <s v="Zara Dress"/>
        <s v="Keurig Coffee"/>
        <s v="Charlotte Tilbury"/>
        <s v="Peloton Bike"/>
        <s v="MacBook Pro"/>
        <s v="Adidas Tracksuit"/>
        <s v="Ninja Blender"/>
        <s v="SK-II Essence"/>
        <s v="Fitbit Tracker"/>
        <s v="iPhone 15"/>
      </sharedItems>
    </cacheField>
    <cacheField name="Units Sold" numFmtId="0">
      <sharedItems containsSemiMixedTypes="0" containsString="0" containsNumber="1" containsInteger="1" minValue="1" maxValue="3" count="3">
        <n v="1"/>
        <n v="2"/>
        <n v="3"/>
      </sharedItems>
    </cacheField>
    <cacheField name="Unit Price ($)" numFmtId="0">
      <sharedItems containsSemiMixedTypes="0" containsString="0" containsNumber="1" containsInteger="1" minValue="24" maxValue="1999"/>
    </cacheField>
    <cacheField name="Revenue ($)" numFmtId="0">
      <sharedItems containsSemiMixedTypes="0" containsString="0" containsNumber="1" containsInteger="1" minValue="24" maxValue="4485" count="30">
        <n v="79"/>
        <n v="258"/>
        <n v="88"/>
        <n v="537"/>
        <n v="349"/>
        <n v="178"/>
        <n v="399"/>
        <n v="24"/>
        <n v="498"/>
        <n v="1099"/>
        <n v="95"/>
        <n v="1098"/>
        <n v="125"/>
        <n v="897"/>
        <n v="249"/>
        <n v="360"/>
        <n v="549"/>
        <n v="42"/>
        <n v="698"/>
        <n v="1299"/>
        <n v="65"/>
        <n v="358"/>
        <n v="38"/>
        <n v="4485"/>
        <n v="1999"/>
        <n v="220"/>
        <n v="149"/>
        <n v="185"/>
        <n v="298"/>
        <n v="999"/>
      </sharedItems>
    </cacheField>
    <cacheField name="Customer Segment" numFmtId="0">
      <sharedItems count="3">
        <s v="Standard"/>
        <s v="Budget"/>
        <s v="Premium"/>
      </sharedItems>
    </cacheField>
  </cacheFields>
  <extLst>
    <ext xmlns:x14="http://schemas.microsoft.com/office/spreadsheetml/2009/9/main" uri="{725AE2AE-9491-48be-B2B4-4EB974FC3084}">
      <x14:pivotCacheDefinition pivotCacheId="128066064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dasir Ahmed" refreshedDate="46212.256481944445" createdVersion="8" refreshedVersion="8" minRefreshableVersion="3" recordCount="199" xr:uid="{8C38908F-DBBD-42A9-B9FB-4C17F5CD9EDB}">
  <cacheSource type="worksheet">
    <worksheetSource ref="A4:K203" sheet="Sales Data"/>
  </cacheSource>
  <cacheFields count="11">
    <cacheField name="TXN-001" numFmtId="0">
      <sharedItems/>
    </cacheField>
    <cacheField name="2026-02-02" numFmtId="0">
      <sharedItems/>
    </cacheField>
    <cacheField name="February" numFmtId="0">
      <sharedItems/>
    </cacheField>
    <cacheField name="Robert Brown" numFmtId="0">
      <sharedItems/>
    </cacheField>
    <cacheField name="South" numFmtId="0">
      <sharedItems/>
    </cacheField>
    <cacheField name="Clothing" numFmtId="0">
      <sharedItems/>
    </cacheField>
    <cacheField name="Levi Jeans" numFmtId="0">
      <sharedItems/>
    </cacheField>
    <cacheField name="1" numFmtId="0">
      <sharedItems containsSemiMixedTypes="0" containsString="0" containsNumber="1" containsInteger="1" minValue="1" maxValue="3"/>
    </cacheField>
    <cacheField name="79" numFmtId="0">
      <sharedItems containsSemiMixedTypes="0" containsString="0" containsNumber="1" containsInteger="1" minValue="24" maxValue="1999"/>
    </cacheField>
    <cacheField name="792" numFmtId="0">
      <sharedItems containsSemiMixedTypes="0" containsString="0" containsNumber="1" containsInteger="1" minValue="24" maxValue="4485"/>
    </cacheField>
    <cacheField name="Standard"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dasir Ahmed" refreshedDate="46212.445958680553" createdVersion="8" refreshedVersion="8" minRefreshableVersion="3" recordCount="199" xr:uid="{4C4E8303-D67E-47EA-A6CA-21B4386F8C3B}">
  <cacheSource type="worksheet">
    <worksheetSource ref="A3:K202" sheet="Sales Data"/>
  </cacheSource>
  <cacheFields count="11">
    <cacheField name="Transaction ID" numFmtId="0">
      <sharedItems/>
    </cacheField>
    <cacheField name="Date" numFmtId="164">
      <sharedItems containsSemiMixedTypes="0" containsNonDate="0" containsDate="1" containsString="0" minDate="2026-01-01T00:00:00" maxDate="2026-06-29T00:00:00"/>
    </cacheField>
    <cacheField name="Month" numFmtId="0">
      <sharedItems/>
    </cacheField>
    <cacheField name="Sales Rep" numFmtId="0">
      <sharedItems count="12">
        <s v="Robert Brown"/>
        <s v="Chris Anderson"/>
        <s v="Amanda Thomas"/>
        <s v="Sarah Connor"/>
        <s v="Lisa Martinez"/>
        <s v="David Lee"/>
        <s v="Joshua Jackson"/>
        <s v="Mike Johnson"/>
        <s v="Emily Davis"/>
        <s v="Jennifer Taylor"/>
        <s v="Ashley White"/>
        <s v="James Wilson"/>
      </sharedItems>
    </cacheField>
    <cacheField name="Region" numFmtId="0">
      <sharedItems count="4">
        <s v="South"/>
        <s v="East"/>
        <s v="West"/>
        <s v="North"/>
      </sharedItems>
    </cacheField>
    <cacheField name="Product Category" numFmtId="0">
      <sharedItems count="5">
        <s v="Clothing"/>
        <s v="Home Appliances"/>
        <s v="Beauty"/>
        <s v="Sports"/>
        <s v="Electronics"/>
      </sharedItems>
    </cacheField>
    <cacheField name="Product" numFmtId="0">
      <sharedItems/>
    </cacheField>
    <cacheField name="Units Sold" numFmtId="0">
      <sharedItems containsSemiMixedTypes="0" containsString="0" containsNumber="1" containsInteger="1" minValue="1" maxValue="3"/>
    </cacheField>
    <cacheField name="Unit Price ($)" numFmtId="0">
      <sharedItems containsSemiMixedTypes="0" containsString="0" containsNumber="1" containsInteger="1" minValue="24" maxValue="1999"/>
    </cacheField>
    <cacheField name="Revenue ($)" numFmtId="0">
      <sharedItems containsSemiMixedTypes="0" containsString="0" containsNumber="1" containsInteger="1" minValue="24" maxValue="4485"/>
    </cacheField>
    <cacheField name="Customer Segment"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TXN-001"/>
    <x v="0"/>
    <x v="0"/>
    <x v="0"/>
    <x v="0"/>
    <x v="0"/>
    <x v="0"/>
    <x v="0"/>
    <n v="79"/>
    <x v="0"/>
    <x v="0"/>
  </r>
  <r>
    <s v="TXN-002"/>
    <x v="1"/>
    <x v="1"/>
    <x v="1"/>
    <x v="1"/>
    <x v="1"/>
    <x v="1"/>
    <x v="1"/>
    <n v="129"/>
    <x v="1"/>
    <x v="1"/>
  </r>
  <r>
    <s v="TXN-003"/>
    <x v="2"/>
    <x v="2"/>
    <x v="2"/>
    <x v="2"/>
    <x v="2"/>
    <x v="2"/>
    <x v="0"/>
    <n v="88"/>
    <x v="2"/>
    <x v="2"/>
  </r>
  <r>
    <s v="TXN-004"/>
    <x v="3"/>
    <x v="3"/>
    <x v="3"/>
    <x v="3"/>
    <x v="3"/>
    <x v="3"/>
    <x v="2"/>
    <n v="179"/>
    <x v="3"/>
    <x v="0"/>
  </r>
  <r>
    <s v="TXN-005"/>
    <x v="4"/>
    <x v="4"/>
    <x v="4"/>
    <x v="0"/>
    <x v="4"/>
    <x v="4"/>
    <x v="0"/>
    <n v="349"/>
    <x v="4"/>
    <x v="1"/>
  </r>
  <r>
    <s v="TXN-006"/>
    <x v="5"/>
    <x v="5"/>
    <x v="5"/>
    <x v="1"/>
    <x v="0"/>
    <x v="5"/>
    <x v="1"/>
    <n v="89"/>
    <x v="5"/>
    <x v="2"/>
  </r>
  <r>
    <s v="TXN-007"/>
    <x v="6"/>
    <x v="0"/>
    <x v="6"/>
    <x v="2"/>
    <x v="1"/>
    <x v="6"/>
    <x v="0"/>
    <n v="399"/>
    <x v="6"/>
    <x v="0"/>
  </r>
  <r>
    <s v="TXN-008"/>
    <x v="7"/>
    <x v="1"/>
    <x v="7"/>
    <x v="3"/>
    <x v="2"/>
    <x v="7"/>
    <x v="0"/>
    <n v="24"/>
    <x v="7"/>
    <x v="1"/>
  </r>
  <r>
    <s v="TXN-009"/>
    <x v="8"/>
    <x v="2"/>
    <x v="8"/>
    <x v="0"/>
    <x v="3"/>
    <x v="8"/>
    <x v="1"/>
    <n v="249"/>
    <x v="8"/>
    <x v="2"/>
  </r>
  <r>
    <s v="TXN-010"/>
    <x v="9"/>
    <x v="3"/>
    <x v="9"/>
    <x v="1"/>
    <x v="4"/>
    <x v="9"/>
    <x v="0"/>
    <n v="1099"/>
    <x v="9"/>
    <x v="0"/>
  </r>
  <r>
    <s v="TXN-011"/>
    <x v="10"/>
    <x v="4"/>
    <x v="10"/>
    <x v="2"/>
    <x v="0"/>
    <x v="10"/>
    <x v="0"/>
    <n v="95"/>
    <x v="10"/>
    <x v="1"/>
  </r>
  <r>
    <s v="TXN-012"/>
    <x v="11"/>
    <x v="5"/>
    <x v="11"/>
    <x v="3"/>
    <x v="1"/>
    <x v="11"/>
    <x v="1"/>
    <n v="549"/>
    <x v="11"/>
    <x v="2"/>
  </r>
  <r>
    <s v="TXN-013"/>
    <x v="12"/>
    <x v="0"/>
    <x v="0"/>
    <x v="0"/>
    <x v="2"/>
    <x v="12"/>
    <x v="0"/>
    <n v="125"/>
    <x v="12"/>
    <x v="0"/>
  </r>
  <r>
    <s v="TXN-014"/>
    <x v="13"/>
    <x v="1"/>
    <x v="1"/>
    <x v="1"/>
    <x v="3"/>
    <x v="13"/>
    <x v="2"/>
    <n v="299"/>
    <x v="13"/>
    <x v="1"/>
  </r>
  <r>
    <s v="TXN-015"/>
    <x v="14"/>
    <x v="2"/>
    <x v="2"/>
    <x v="2"/>
    <x v="4"/>
    <x v="14"/>
    <x v="0"/>
    <n v="249"/>
    <x v="14"/>
    <x v="2"/>
  </r>
  <r>
    <s v="TXN-016"/>
    <x v="15"/>
    <x v="3"/>
    <x v="3"/>
    <x v="3"/>
    <x v="0"/>
    <x v="15"/>
    <x v="1"/>
    <n v="180"/>
    <x v="15"/>
    <x v="0"/>
  </r>
  <r>
    <s v="TXN-017"/>
    <x v="16"/>
    <x v="4"/>
    <x v="4"/>
    <x v="0"/>
    <x v="1"/>
    <x v="16"/>
    <x v="0"/>
    <n v="549"/>
    <x v="16"/>
    <x v="1"/>
  </r>
  <r>
    <s v="TXN-018"/>
    <x v="17"/>
    <x v="5"/>
    <x v="5"/>
    <x v="1"/>
    <x v="2"/>
    <x v="17"/>
    <x v="0"/>
    <n v="42"/>
    <x v="17"/>
    <x v="2"/>
  </r>
  <r>
    <s v="TXN-019"/>
    <x v="18"/>
    <x v="0"/>
    <x v="6"/>
    <x v="2"/>
    <x v="3"/>
    <x v="18"/>
    <x v="1"/>
    <n v="349"/>
    <x v="18"/>
    <x v="0"/>
  </r>
  <r>
    <s v="TXN-020"/>
    <x v="19"/>
    <x v="1"/>
    <x v="7"/>
    <x v="3"/>
    <x v="4"/>
    <x v="19"/>
    <x v="0"/>
    <n v="1299"/>
    <x v="19"/>
    <x v="1"/>
  </r>
  <r>
    <s v="TXN-021"/>
    <x v="20"/>
    <x v="2"/>
    <x v="8"/>
    <x v="0"/>
    <x v="0"/>
    <x v="20"/>
    <x v="0"/>
    <n v="65"/>
    <x v="20"/>
    <x v="2"/>
  </r>
  <r>
    <s v="TXN-022"/>
    <x v="21"/>
    <x v="3"/>
    <x v="9"/>
    <x v="1"/>
    <x v="1"/>
    <x v="21"/>
    <x v="1"/>
    <n v="179"/>
    <x v="21"/>
    <x v="0"/>
  </r>
  <r>
    <s v="TXN-023"/>
    <x v="22"/>
    <x v="4"/>
    <x v="10"/>
    <x v="2"/>
    <x v="2"/>
    <x v="22"/>
    <x v="0"/>
    <n v="38"/>
    <x v="22"/>
    <x v="1"/>
  </r>
  <r>
    <s v="TXN-024"/>
    <x v="23"/>
    <x v="5"/>
    <x v="11"/>
    <x v="3"/>
    <x v="3"/>
    <x v="23"/>
    <x v="2"/>
    <n v="1495"/>
    <x v="23"/>
    <x v="2"/>
  </r>
  <r>
    <s v="TXN-025"/>
    <x v="24"/>
    <x v="0"/>
    <x v="0"/>
    <x v="0"/>
    <x v="4"/>
    <x v="24"/>
    <x v="0"/>
    <n v="1999"/>
    <x v="24"/>
    <x v="0"/>
  </r>
  <r>
    <s v="TXN-026"/>
    <x v="25"/>
    <x v="1"/>
    <x v="1"/>
    <x v="1"/>
    <x v="0"/>
    <x v="25"/>
    <x v="1"/>
    <n v="110"/>
    <x v="25"/>
    <x v="1"/>
  </r>
  <r>
    <s v="TXN-027"/>
    <x v="26"/>
    <x v="2"/>
    <x v="2"/>
    <x v="2"/>
    <x v="1"/>
    <x v="26"/>
    <x v="0"/>
    <n v="149"/>
    <x v="26"/>
    <x v="2"/>
  </r>
  <r>
    <s v="TXN-028"/>
    <x v="27"/>
    <x v="3"/>
    <x v="3"/>
    <x v="3"/>
    <x v="2"/>
    <x v="27"/>
    <x v="0"/>
    <n v="185"/>
    <x v="27"/>
    <x v="0"/>
  </r>
  <r>
    <s v="TXN-029"/>
    <x v="28"/>
    <x v="4"/>
    <x v="4"/>
    <x v="0"/>
    <x v="3"/>
    <x v="28"/>
    <x v="1"/>
    <n v="149"/>
    <x v="28"/>
    <x v="1"/>
  </r>
  <r>
    <s v="TXN-030"/>
    <x v="29"/>
    <x v="5"/>
    <x v="5"/>
    <x v="1"/>
    <x v="4"/>
    <x v="29"/>
    <x v="0"/>
    <n v="999"/>
    <x v="29"/>
    <x v="2"/>
  </r>
  <r>
    <s v="TXN-031"/>
    <x v="30"/>
    <x v="0"/>
    <x v="6"/>
    <x v="2"/>
    <x v="0"/>
    <x v="0"/>
    <x v="0"/>
    <n v="79"/>
    <x v="0"/>
    <x v="0"/>
  </r>
  <r>
    <s v="TXN-032"/>
    <x v="31"/>
    <x v="1"/>
    <x v="7"/>
    <x v="3"/>
    <x v="1"/>
    <x v="1"/>
    <x v="1"/>
    <n v="129"/>
    <x v="1"/>
    <x v="1"/>
  </r>
  <r>
    <s v="TXN-033"/>
    <x v="32"/>
    <x v="2"/>
    <x v="8"/>
    <x v="0"/>
    <x v="2"/>
    <x v="2"/>
    <x v="0"/>
    <n v="88"/>
    <x v="2"/>
    <x v="2"/>
  </r>
  <r>
    <s v="TXN-034"/>
    <x v="33"/>
    <x v="3"/>
    <x v="9"/>
    <x v="1"/>
    <x v="3"/>
    <x v="3"/>
    <x v="2"/>
    <n v="179"/>
    <x v="3"/>
    <x v="0"/>
  </r>
  <r>
    <s v="TXN-035"/>
    <x v="34"/>
    <x v="4"/>
    <x v="10"/>
    <x v="2"/>
    <x v="4"/>
    <x v="4"/>
    <x v="0"/>
    <n v="349"/>
    <x v="4"/>
    <x v="1"/>
  </r>
  <r>
    <s v="TXN-036"/>
    <x v="35"/>
    <x v="5"/>
    <x v="11"/>
    <x v="3"/>
    <x v="0"/>
    <x v="5"/>
    <x v="1"/>
    <n v="89"/>
    <x v="5"/>
    <x v="2"/>
  </r>
  <r>
    <s v="TXN-037"/>
    <x v="36"/>
    <x v="0"/>
    <x v="0"/>
    <x v="0"/>
    <x v="1"/>
    <x v="6"/>
    <x v="0"/>
    <n v="399"/>
    <x v="6"/>
    <x v="0"/>
  </r>
  <r>
    <s v="TXN-038"/>
    <x v="37"/>
    <x v="1"/>
    <x v="1"/>
    <x v="1"/>
    <x v="2"/>
    <x v="7"/>
    <x v="0"/>
    <n v="24"/>
    <x v="7"/>
    <x v="1"/>
  </r>
  <r>
    <s v="TXN-039"/>
    <x v="38"/>
    <x v="2"/>
    <x v="2"/>
    <x v="2"/>
    <x v="3"/>
    <x v="8"/>
    <x v="1"/>
    <n v="249"/>
    <x v="8"/>
    <x v="2"/>
  </r>
  <r>
    <s v="TXN-040"/>
    <x v="39"/>
    <x v="3"/>
    <x v="3"/>
    <x v="3"/>
    <x v="4"/>
    <x v="9"/>
    <x v="0"/>
    <n v="1099"/>
    <x v="9"/>
    <x v="0"/>
  </r>
  <r>
    <s v="TXN-041"/>
    <x v="40"/>
    <x v="4"/>
    <x v="4"/>
    <x v="0"/>
    <x v="0"/>
    <x v="10"/>
    <x v="0"/>
    <n v="95"/>
    <x v="10"/>
    <x v="1"/>
  </r>
  <r>
    <s v="TXN-042"/>
    <x v="41"/>
    <x v="5"/>
    <x v="5"/>
    <x v="1"/>
    <x v="1"/>
    <x v="11"/>
    <x v="1"/>
    <n v="549"/>
    <x v="11"/>
    <x v="2"/>
  </r>
  <r>
    <s v="TXN-043"/>
    <x v="42"/>
    <x v="0"/>
    <x v="6"/>
    <x v="2"/>
    <x v="2"/>
    <x v="12"/>
    <x v="0"/>
    <n v="125"/>
    <x v="12"/>
    <x v="0"/>
  </r>
  <r>
    <s v="TXN-044"/>
    <x v="43"/>
    <x v="1"/>
    <x v="7"/>
    <x v="3"/>
    <x v="3"/>
    <x v="13"/>
    <x v="2"/>
    <n v="299"/>
    <x v="13"/>
    <x v="1"/>
  </r>
  <r>
    <s v="TXN-045"/>
    <x v="44"/>
    <x v="2"/>
    <x v="8"/>
    <x v="0"/>
    <x v="4"/>
    <x v="14"/>
    <x v="0"/>
    <n v="249"/>
    <x v="14"/>
    <x v="2"/>
  </r>
  <r>
    <s v="TXN-046"/>
    <x v="45"/>
    <x v="3"/>
    <x v="9"/>
    <x v="1"/>
    <x v="0"/>
    <x v="15"/>
    <x v="1"/>
    <n v="180"/>
    <x v="15"/>
    <x v="0"/>
  </r>
  <r>
    <s v="TXN-047"/>
    <x v="46"/>
    <x v="4"/>
    <x v="10"/>
    <x v="2"/>
    <x v="1"/>
    <x v="16"/>
    <x v="0"/>
    <n v="549"/>
    <x v="16"/>
    <x v="1"/>
  </r>
  <r>
    <s v="TXN-048"/>
    <x v="47"/>
    <x v="5"/>
    <x v="11"/>
    <x v="3"/>
    <x v="2"/>
    <x v="17"/>
    <x v="0"/>
    <n v="42"/>
    <x v="17"/>
    <x v="2"/>
  </r>
  <r>
    <s v="TXN-049"/>
    <x v="48"/>
    <x v="0"/>
    <x v="0"/>
    <x v="0"/>
    <x v="3"/>
    <x v="18"/>
    <x v="1"/>
    <n v="349"/>
    <x v="18"/>
    <x v="0"/>
  </r>
  <r>
    <s v="TXN-050"/>
    <x v="49"/>
    <x v="1"/>
    <x v="1"/>
    <x v="1"/>
    <x v="4"/>
    <x v="19"/>
    <x v="0"/>
    <n v="1299"/>
    <x v="19"/>
    <x v="1"/>
  </r>
  <r>
    <s v="TXN-051"/>
    <x v="50"/>
    <x v="2"/>
    <x v="2"/>
    <x v="2"/>
    <x v="0"/>
    <x v="20"/>
    <x v="0"/>
    <n v="65"/>
    <x v="20"/>
    <x v="2"/>
  </r>
  <r>
    <s v="TXN-052"/>
    <x v="51"/>
    <x v="3"/>
    <x v="3"/>
    <x v="3"/>
    <x v="1"/>
    <x v="21"/>
    <x v="1"/>
    <n v="179"/>
    <x v="21"/>
    <x v="0"/>
  </r>
  <r>
    <s v="TXN-053"/>
    <x v="52"/>
    <x v="4"/>
    <x v="4"/>
    <x v="0"/>
    <x v="2"/>
    <x v="22"/>
    <x v="0"/>
    <n v="38"/>
    <x v="22"/>
    <x v="1"/>
  </r>
  <r>
    <s v="TXN-054"/>
    <x v="53"/>
    <x v="5"/>
    <x v="5"/>
    <x v="1"/>
    <x v="3"/>
    <x v="23"/>
    <x v="2"/>
    <n v="1495"/>
    <x v="23"/>
    <x v="2"/>
  </r>
  <r>
    <s v="TXN-055"/>
    <x v="54"/>
    <x v="0"/>
    <x v="6"/>
    <x v="2"/>
    <x v="4"/>
    <x v="24"/>
    <x v="0"/>
    <n v="1999"/>
    <x v="24"/>
    <x v="0"/>
  </r>
  <r>
    <s v="TXN-056"/>
    <x v="55"/>
    <x v="1"/>
    <x v="7"/>
    <x v="3"/>
    <x v="0"/>
    <x v="25"/>
    <x v="1"/>
    <n v="110"/>
    <x v="25"/>
    <x v="1"/>
  </r>
  <r>
    <s v="TXN-057"/>
    <x v="56"/>
    <x v="2"/>
    <x v="8"/>
    <x v="0"/>
    <x v="1"/>
    <x v="26"/>
    <x v="0"/>
    <n v="149"/>
    <x v="26"/>
    <x v="2"/>
  </r>
  <r>
    <s v="TXN-058"/>
    <x v="57"/>
    <x v="3"/>
    <x v="9"/>
    <x v="1"/>
    <x v="2"/>
    <x v="27"/>
    <x v="0"/>
    <n v="185"/>
    <x v="27"/>
    <x v="0"/>
  </r>
  <r>
    <s v="TXN-059"/>
    <x v="58"/>
    <x v="4"/>
    <x v="10"/>
    <x v="2"/>
    <x v="3"/>
    <x v="28"/>
    <x v="1"/>
    <n v="149"/>
    <x v="28"/>
    <x v="1"/>
  </r>
  <r>
    <s v="TXN-060"/>
    <x v="59"/>
    <x v="5"/>
    <x v="11"/>
    <x v="3"/>
    <x v="4"/>
    <x v="29"/>
    <x v="0"/>
    <n v="999"/>
    <x v="29"/>
    <x v="2"/>
  </r>
  <r>
    <s v="TXN-061"/>
    <x v="60"/>
    <x v="0"/>
    <x v="0"/>
    <x v="0"/>
    <x v="0"/>
    <x v="0"/>
    <x v="0"/>
    <n v="79"/>
    <x v="0"/>
    <x v="0"/>
  </r>
  <r>
    <s v="TXN-062"/>
    <x v="61"/>
    <x v="1"/>
    <x v="1"/>
    <x v="1"/>
    <x v="1"/>
    <x v="1"/>
    <x v="1"/>
    <n v="129"/>
    <x v="1"/>
    <x v="1"/>
  </r>
  <r>
    <s v="TXN-063"/>
    <x v="62"/>
    <x v="2"/>
    <x v="2"/>
    <x v="2"/>
    <x v="2"/>
    <x v="2"/>
    <x v="0"/>
    <n v="88"/>
    <x v="2"/>
    <x v="2"/>
  </r>
  <r>
    <s v="TXN-064"/>
    <x v="63"/>
    <x v="3"/>
    <x v="3"/>
    <x v="3"/>
    <x v="3"/>
    <x v="3"/>
    <x v="2"/>
    <n v="179"/>
    <x v="3"/>
    <x v="0"/>
  </r>
  <r>
    <s v="TXN-065"/>
    <x v="64"/>
    <x v="4"/>
    <x v="4"/>
    <x v="0"/>
    <x v="4"/>
    <x v="4"/>
    <x v="0"/>
    <n v="349"/>
    <x v="4"/>
    <x v="1"/>
  </r>
  <r>
    <s v="TXN-066"/>
    <x v="65"/>
    <x v="5"/>
    <x v="5"/>
    <x v="1"/>
    <x v="0"/>
    <x v="5"/>
    <x v="1"/>
    <n v="89"/>
    <x v="5"/>
    <x v="2"/>
  </r>
  <r>
    <s v="TXN-067"/>
    <x v="66"/>
    <x v="0"/>
    <x v="6"/>
    <x v="2"/>
    <x v="1"/>
    <x v="6"/>
    <x v="0"/>
    <n v="399"/>
    <x v="6"/>
    <x v="0"/>
  </r>
  <r>
    <s v="TXN-068"/>
    <x v="67"/>
    <x v="1"/>
    <x v="7"/>
    <x v="3"/>
    <x v="2"/>
    <x v="7"/>
    <x v="0"/>
    <n v="24"/>
    <x v="7"/>
    <x v="1"/>
  </r>
  <r>
    <s v="TXN-069"/>
    <x v="68"/>
    <x v="2"/>
    <x v="8"/>
    <x v="0"/>
    <x v="3"/>
    <x v="8"/>
    <x v="1"/>
    <n v="249"/>
    <x v="8"/>
    <x v="2"/>
  </r>
  <r>
    <s v="TXN-070"/>
    <x v="69"/>
    <x v="3"/>
    <x v="9"/>
    <x v="1"/>
    <x v="4"/>
    <x v="9"/>
    <x v="0"/>
    <n v="1099"/>
    <x v="9"/>
    <x v="0"/>
  </r>
  <r>
    <s v="TXN-071"/>
    <x v="70"/>
    <x v="4"/>
    <x v="10"/>
    <x v="2"/>
    <x v="0"/>
    <x v="10"/>
    <x v="0"/>
    <n v="95"/>
    <x v="10"/>
    <x v="1"/>
  </r>
  <r>
    <s v="TXN-072"/>
    <x v="71"/>
    <x v="5"/>
    <x v="11"/>
    <x v="3"/>
    <x v="1"/>
    <x v="11"/>
    <x v="1"/>
    <n v="549"/>
    <x v="11"/>
    <x v="2"/>
  </r>
  <r>
    <s v="TXN-073"/>
    <x v="72"/>
    <x v="0"/>
    <x v="0"/>
    <x v="0"/>
    <x v="2"/>
    <x v="12"/>
    <x v="0"/>
    <n v="125"/>
    <x v="12"/>
    <x v="0"/>
  </r>
  <r>
    <s v="TXN-074"/>
    <x v="73"/>
    <x v="1"/>
    <x v="1"/>
    <x v="1"/>
    <x v="3"/>
    <x v="13"/>
    <x v="2"/>
    <n v="299"/>
    <x v="13"/>
    <x v="1"/>
  </r>
  <r>
    <s v="TXN-075"/>
    <x v="74"/>
    <x v="2"/>
    <x v="2"/>
    <x v="2"/>
    <x v="4"/>
    <x v="14"/>
    <x v="0"/>
    <n v="249"/>
    <x v="14"/>
    <x v="2"/>
  </r>
  <r>
    <s v="TXN-076"/>
    <x v="75"/>
    <x v="3"/>
    <x v="3"/>
    <x v="3"/>
    <x v="0"/>
    <x v="15"/>
    <x v="1"/>
    <n v="180"/>
    <x v="15"/>
    <x v="0"/>
  </r>
  <r>
    <s v="TXN-077"/>
    <x v="76"/>
    <x v="4"/>
    <x v="4"/>
    <x v="0"/>
    <x v="1"/>
    <x v="16"/>
    <x v="0"/>
    <n v="549"/>
    <x v="16"/>
    <x v="1"/>
  </r>
  <r>
    <s v="TXN-078"/>
    <x v="77"/>
    <x v="5"/>
    <x v="5"/>
    <x v="1"/>
    <x v="2"/>
    <x v="17"/>
    <x v="0"/>
    <n v="42"/>
    <x v="17"/>
    <x v="2"/>
  </r>
  <r>
    <s v="TXN-079"/>
    <x v="78"/>
    <x v="0"/>
    <x v="6"/>
    <x v="2"/>
    <x v="3"/>
    <x v="18"/>
    <x v="1"/>
    <n v="349"/>
    <x v="18"/>
    <x v="0"/>
  </r>
  <r>
    <s v="TXN-080"/>
    <x v="79"/>
    <x v="1"/>
    <x v="7"/>
    <x v="3"/>
    <x v="4"/>
    <x v="19"/>
    <x v="0"/>
    <n v="1299"/>
    <x v="19"/>
    <x v="1"/>
  </r>
  <r>
    <s v="TXN-081"/>
    <x v="80"/>
    <x v="2"/>
    <x v="8"/>
    <x v="0"/>
    <x v="0"/>
    <x v="20"/>
    <x v="0"/>
    <n v="65"/>
    <x v="20"/>
    <x v="2"/>
  </r>
  <r>
    <s v="TXN-082"/>
    <x v="81"/>
    <x v="3"/>
    <x v="9"/>
    <x v="1"/>
    <x v="1"/>
    <x v="21"/>
    <x v="1"/>
    <n v="179"/>
    <x v="21"/>
    <x v="0"/>
  </r>
  <r>
    <s v="TXN-083"/>
    <x v="82"/>
    <x v="4"/>
    <x v="10"/>
    <x v="2"/>
    <x v="2"/>
    <x v="22"/>
    <x v="0"/>
    <n v="38"/>
    <x v="22"/>
    <x v="1"/>
  </r>
  <r>
    <s v="TXN-084"/>
    <x v="83"/>
    <x v="5"/>
    <x v="11"/>
    <x v="3"/>
    <x v="3"/>
    <x v="23"/>
    <x v="2"/>
    <n v="1495"/>
    <x v="23"/>
    <x v="2"/>
  </r>
  <r>
    <s v="TXN-085"/>
    <x v="0"/>
    <x v="0"/>
    <x v="0"/>
    <x v="0"/>
    <x v="4"/>
    <x v="24"/>
    <x v="0"/>
    <n v="1999"/>
    <x v="24"/>
    <x v="0"/>
  </r>
  <r>
    <s v="TXN-086"/>
    <x v="1"/>
    <x v="1"/>
    <x v="1"/>
    <x v="1"/>
    <x v="0"/>
    <x v="25"/>
    <x v="1"/>
    <n v="110"/>
    <x v="25"/>
    <x v="1"/>
  </r>
  <r>
    <s v="TXN-087"/>
    <x v="2"/>
    <x v="2"/>
    <x v="2"/>
    <x v="2"/>
    <x v="1"/>
    <x v="26"/>
    <x v="0"/>
    <n v="149"/>
    <x v="26"/>
    <x v="2"/>
  </r>
  <r>
    <s v="TXN-088"/>
    <x v="3"/>
    <x v="3"/>
    <x v="3"/>
    <x v="3"/>
    <x v="2"/>
    <x v="27"/>
    <x v="0"/>
    <n v="185"/>
    <x v="27"/>
    <x v="0"/>
  </r>
  <r>
    <s v="TXN-089"/>
    <x v="4"/>
    <x v="4"/>
    <x v="4"/>
    <x v="0"/>
    <x v="3"/>
    <x v="28"/>
    <x v="1"/>
    <n v="149"/>
    <x v="28"/>
    <x v="1"/>
  </r>
  <r>
    <s v="TXN-090"/>
    <x v="5"/>
    <x v="5"/>
    <x v="5"/>
    <x v="1"/>
    <x v="4"/>
    <x v="29"/>
    <x v="0"/>
    <n v="999"/>
    <x v="29"/>
    <x v="2"/>
  </r>
  <r>
    <s v="TXN-091"/>
    <x v="6"/>
    <x v="0"/>
    <x v="6"/>
    <x v="2"/>
    <x v="0"/>
    <x v="0"/>
    <x v="0"/>
    <n v="79"/>
    <x v="0"/>
    <x v="0"/>
  </r>
  <r>
    <s v="TXN-092"/>
    <x v="7"/>
    <x v="1"/>
    <x v="7"/>
    <x v="3"/>
    <x v="1"/>
    <x v="1"/>
    <x v="1"/>
    <n v="129"/>
    <x v="1"/>
    <x v="1"/>
  </r>
  <r>
    <s v="TXN-093"/>
    <x v="8"/>
    <x v="2"/>
    <x v="8"/>
    <x v="0"/>
    <x v="2"/>
    <x v="2"/>
    <x v="0"/>
    <n v="88"/>
    <x v="2"/>
    <x v="2"/>
  </r>
  <r>
    <s v="TXN-094"/>
    <x v="9"/>
    <x v="3"/>
    <x v="9"/>
    <x v="1"/>
    <x v="3"/>
    <x v="3"/>
    <x v="2"/>
    <n v="179"/>
    <x v="3"/>
    <x v="0"/>
  </r>
  <r>
    <s v="TXN-095"/>
    <x v="10"/>
    <x v="4"/>
    <x v="10"/>
    <x v="2"/>
    <x v="4"/>
    <x v="4"/>
    <x v="0"/>
    <n v="349"/>
    <x v="4"/>
    <x v="1"/>
  </r>
  <r>
    <s v="TXN-096"/>
    <x v="11"/>
    <x v="5"/>
    <x v="11"/>
    <x v="3"/>
    <x v="0"/>
    <x v="5"/>
    <x v="1"/>
    <n v="89"/>
    <x v="5"/>
    <x v="2"/>
  </r>
  <r>
    <s v="TXN-097"/>
    <x v="12"/>
    <x v="0"/>
    <x v="0"/>
    <x v="0"/>
    <x v="1"/>
    <x v="6"/>
    <x v="0"/>
    <n v="399"/>
    <x v="6"/>
    <x v="0"/>
  </r>
  <r>
    <s v="TXN-098"/>
    <x v="13"/>
    <x v="1"/>
    <x v="1"/>
    <x v="1"/>
    <x v="2"/>
    <x v="7"/>
    <x v="0"/>
    <n v="24"/>
    <x v="7"/>
    <x v="1"/>
  </r>
  <r>
    <s v="TXN-099"/>
    <x v="14"/>
    <x v="2"/>
    <x v="2"/>
    <x v="2"/>
    <x v="3"/>
    <x v="8"/>
    <x v="1"/>
    <n v="249"/>
    <x v="8"/>
    <x v="2"/>
  </r>
  <r>
    <s v="TXN-100"/>
    <x v="15"/>
    <x v="3"/>
    <x v="3"/>
    <x v="3"/>
    <x v="4"/>
    <x v="9"/>
    <x v="0"/>
    <n v="1099"/>
    <x v="9"/>
    <x v="0"/>
  </r>
  <r>
    <s v="TXN-101"/>
    <x v="16"/>
    <x v="4"/>
    <x v="4"/>
    <x v="0"/>
    <x v="0"/>
    <x v="10"/>
    <x v="0"/>
    <n v="95"/>
    <x v="10"/>
    <x v="1"/>
  </r>
  <r>
    <s v="TXN-102"/>
    <x v="17"/>
    <x v="5"/>
    <x v="5"/>
    <x v="1"/>
    <x v="1"/>
    <x v="11"/>
    <x v="1"/>
    <n v="549"/>
    <x v="11"/>
    <x v="2"/>
  </r>
  <r>
    <s v="TXN-103"/>
    <x v="18"/>
    <x v="0"/>
    <x v="6"/>
    <x v="2"/>
    <x v="2"/>
    <x v="12"/>
    <x v="0"/>
    <n v="125"/>
    <x v="12"/>
    <x v="0"/>
  </r>
  <r>
    <s v="TXN-104"/>
    <x v="19"/>
    <x v="1"/>
    <x v="7"/>
    <x v="3"/>
    <x v="3"/>
    <x v="13"/>
    <x v="2"/>
    <n v="299"/>
    <x v="13"/>
    <x v="1"/>
  </r>
  <r>
    <s v="TXN-105"/>
    <x v="20"/>
    <x v="2"/>
    <x v="8"/>
    <x v="0"/>
    <x v="4"/>
    <x v="14"/>
    <x v="0"/>
    <n v="249"/>
    <x v="14"/>
    <x v="2"/>
  </r>
  <r>
    <s v="TXN-106"/>
    <x v="21"/>
    <x v="3"/>
    <x v="9"/>
    <x v="1"/>
    <x v="0"/>
    <x v="15"/>
    <x v="1"/>
    <n v="180"/>
    <x v="15"/>
    <x v="0"/>
  </r>
  <r>
    <s v="TXN-107"/>
    <x v="22"/>
    <x v="4"/>
    <x v="10"/>
    <x v="2"/>
    <x v="1"/>
    <x v="16"/>
    <x v="0"/>
    <n v="549"/>
    <x v="16"/>
    <x v="1"/>
  </r>
  <r>
    <s v="TXN-108"/>
    <x v="23"/>
    <x v="5"/>
    <x v="11"/>
    <x v="3"/>
    <x v="2"/>
    <x v="17"/>
    <x v="0"/>
    <n v="42"/>
    <x v="17"/>
    <x v="2"/>
  </r>
  <r>
    <s v="TXN-109"/>
    <x v="24"/>
    <x v="0"/>
    <x v="0"/>
    <x v="0"/>
    <x v="3"/>
    <x v="18"/>
    <x v="1"/>
    <n v="349"/>
    <x v="18"/>
    <x v="0"/>
  </r>
  <r>
    <s v="TXN-110"/>
    <x v="25"/>
    <x v="1"/>
    <x v="1"/>
    <x v="1"/>
    <x v="4"/>
    <x v="19"/>
    <x v="0"/>
    <n v="1299"/>
    <x v="19"/>
    <x v="1"/>
  </r>
  <r>
    <s v="TXN-111"/>
    <x v="26"/>
    <x v="2"/>
    <x v="2"/>
    <x v="2"/>
    <x v="0"/>
    <x v="20"/>
    <x v="0"/>
    <n v="65"/>
    <x v="20"/>
    <x v="2"/>
  </r>
  <r>
    <s v="TXN-112"/>
    <x v="27"/>
    <x v="3"/>
    <x v="3"/>
    <x v="3"/>
    <x v="1"/>
    <x v="21"/>
    <x v="1"/>
    <n v="179"/>
    <x v="21"/>
    <x v="0"/>
  </r>
  <r>
    <s v="TXN-113"/>
    <x v="28"/>
    <x v="4"/>
    <x v="4"/>
    <x v="0"/>
    <x v="2"/>
    <x v="22"/>
    <x v="0"/>
    <n v="38"/>
    <x v="22"/>
    <x v="1"/>
  </r>
  <r>
    <s v="TXN-114"/>
    <x v="29"/>
    <x v="5"/>
    <x v="5"/>
    <x v="1"/>
    <x v="3"/>
    <x v="23"/>
    <x v="2"/>
    <n v="1495"/>
    <x v="23"/>
    <x v="2"/>
  </r>
  <r>
    <s v="TXN-115"/>
    <x v="30"/>
    <x v="0"/>
    <x v="6"/>
    <x v="2"/>
    <x v="4"/>
    <x v="24"/>
    <x v="0"/>
    <n v="1999"/>
    <x v="24"/>
    <x v="0"/>
  </r>
  <r>
    <s v="TXN-116"/>
    <x v="31"/>
    <x v="1"/>
    <x v="7"/>
    <x v="3"/>
    <x v="0"/>
    <x v="25"/>
    <x v="1"/>
    <n v="110"/>
    <x v="25"/>
    <x v="1"/>
  </r>
  <r>
    <s v="TXN-117"/>
    <x v="32"/>
    <x v="2"/>
    <x v="8"/>
    <x v="0"/>
    <x v="1"/>
    <x v="26"/>
    <x v="0"/>
    <n v="149"/>
    <x v="26"/>
    <x v="2"/>
  </r>
  <r>
    <s v="TXN-118"/>
    <x v="33"/>
    <x v="3"/>
    <x v="9"/>
    <x v="1"/>
    <x v="2"/>
    <x v="27"/>
    <x v="0"/>
    <n v="185"/>
    <x v="27"/>
    <x v="0"/>
  </r>
  <r>
    <s v="TXN-119"/>
    <x v="34"/>
    <x v="4"/>
    <x v="10"/>
    <x v="2"/>
    <x v="3"/>
    <x v="28"/>
    <x v="1"/>
    <n v="149"/>
    <x v="28"/>
    <x v="1"/>
  </r>
  <r>
    <s v="TXN-120"/>
    <x v="35"/>
    <x v="5"/>
    <x v="11"/>
    <x v="3"/>
    <x v="4"/>
    <x v="29"/>
    <x v="0"/>
    <n v="999"/>
    <x v="29"/>
    <x v="2"/>
  </r>
  <r>
    <s v="TXN-121"/>
    <x v="36"/>
    <x v="0"/>
    <x v="0"/>
    <x v="0"/>
    <x v="0"/>
    <x v="0"/>
    <x v="0"/>
    <n v="79"/>
    <x v="0"/>
    <x v="0"/>
  </r>
  <r>
    <s v="TXN-122"/>
    <x v="37"/>
    <x v="1"/>
    <x v="1"/>
    <x v="1"/>
    <x v="1"/>
    <x v="1"/>
    <x v="1"/>
    <n v="129"/>
    <x v="1"/>
    <x v="1"/>
  </r>
  <r>
    <s v="TXN-123"/>
    <x v="38"/>
    <x v="2"/>
    <x v="2"/>
    <x v="2"/>
    <x v="2"/>
    <x v="2"/>
    <x v="0"/>
    <n v="88"/>
    <x v="2"/>
    <x v="2"/>
  </r>
  <r>
    <s v="TXN-124"/>
    <x v="39"/>
    <x v="3"/>
    <x v="3"/>
    <x v="3"/>
    <x v="3"/>
    <x v="3"/>
    <x v="2"/>
    <n v="179"/>
    <x v="3"/>
    <x v="0"/>
  </r>
  <r>
    <s v="TXN-125"/>
    <x v="40"/>
    <x v="4"/>
    <x v="4"/>
    <x v="0"/>
    <x v="4"/>
    <x v="4"/>
    <x v="0"/>
    <n v="349"/>
    <x v="4"/>
    <x v="1"/>
  </r>
  <r>
    <s v="TXN-126"/>
    <x v="41"/>
    <x v="5"/>
    <x v="5"/>
    <x v="1"/>
    <x v="0"/>
    <x v="5"/>
    <x v="1"/>
    <n v="89"/>
    <x v="5"/>
    <x v="2"/>
  </r>
  <r>
    <s v="TXN-127"/>
    <x v="42"/>
    <x v="0"/>
    <x v="6"/>
    <x v="2"/>
    <x v="1"/>
    <x v="6"/>
    <x v="0"/>
    <n v="399"/>
    <x v="6"/>
    <x v="0"/>
  </r>
  <r>
    <s v="TXN-128"/>
    <x v="43"/>
    <x v="1"/>
    <x v="7"/>
    <x v="3"/>
    <x v="2"/>
    <x v="7"/>
    <x v="0"/>
    <n v="24"/>
    <x v="7"/>
    <x v="1"/>
  </r>
  <r>
    <s v="TXN-129"/>
    <x v="44"/>
    <x v="2"/>
    <x v="8"/>
    <x v="0"/>
    <x v="3"/>
    <x v="8"/>
    <x v="1"/>
    <n v="249"/>
    <x v="8"/>
    <x v="2"/>
  </r>
  <r>
    <s v="TXN-130"/>
    <x v="45"/>
    <x v="3"/>
    <x v="9"/>
    <x v="1"/>
    <x v="4"/>
    <x v="9"/>
    <x v="0"/>
    <n v="1099"/>
    <x v="9"/>
    <x v="0"/>
  </r>
  <r>
    <s v="TXN-131"/>
    <x v="46"/>
    <x v="4"/>
    <x v="10"/>
    <x v="2"/>
    <x v="0"/>
    <x v="10"/>
    <x v="0"/>
    <n v="95"/>
    <x v="10"/>
    <x v="1"/>
  </r>
  <r>
    <s v="TXN-132"/>
    <x v="47"/>
    <x v="5"/>
    <x v="11"/>
    <x v="3"/>
    <x v="1"/>
    <x v="11"/>
    <x v="1"/>
    <n v="549"/>
    <x v="11"/>
    <x v="2"/>
  </r>
  <r>
    <s v="TXN-133"/>
    <x v="48"/>
    <x v="0"/>
    <x v="0"/>
    <x v="0"/>
    <x v="2"/>
    <x v="12"/>
    <x v="0"/>
    <n v="125"/>
    <x v="12"/>
    <x v="0"/>
  </r>
  <r>
    <s v="TXN-134"/>
    <x v="49"/>
    <x v="1"/>
    <x v="1"/>
    <x v="1"/>
    <x v="3"/>
    <x v="13"/>
    <x v="2"/>
    <n v="299"/>
    <x v="13"/>
    <x v="1"/>
  </r>
  <r>
    <s v="TXN-135"/>
    <x v="50"/>
    <x v="2"/>
    <x v="2"/>
    <x v="2"/>
    <x v="4"/>
    <x v="14"/>
    <x v="0"/>
    <n v="249"/>
    <x v="14"/>
    <x v="2"/>
  </r>
  <r>
    <s v="TXN-136"/>
    <x v="51"/>
    <x v="3"/>
    <x v="3"/>
    <x v="3"/>
    <x v="0"/>
    <x v="15"/>
    <x v="1"/>
    <n v="180"/>
    <x v="15"/>
    <x v="0"/>
  </r>
  <r>
    <s v="TXN-137"/>
    <x v="52"/>
    <x v="4"/>
    <x v="4"/>
    <x v="0"/>
    <x v="1"/>
    <x v="16"/>
    <x v="0"/>
    <n v="549"/>
    <x v="16"/>
    <x v="1"/>
  </r>
  <r>
    <s v="TXN-138"/>
    <x v="53"/>
    <x v="5"/>
    <x v="5"/>
    <x v="1"/>
    <x v="2"/>
    <x v="17"/>
    <x v="0"/>
    <n v="42"/>
    <x v="17"/>
    <x v="2"/>
  </r>
  <r>
    <s v="TXN-139"/>
    <x v="54"/>
    <x v="0"/>
    <x v="6"/>
    <x v="2"/>
    <x v="3"/>
    <x v="18"/>
    <x v="1"/>
    <n v="349"/>
    <x v="18"/>
    <x v="0"/>
  </r>
  <r>
    <s v="TXN-140"/>
    <x v="55"/>
    <x v="1"/>
    <x v="7"/>
    <x v="3"/>
    <x v="4"/>
    <x v="19"/>
    <x v="0"/>
    <n v="1299"/>
    <x v="19"/>
    <x v="1"/>
  </r>
  <r>
    <s v="TXN-141"/>
    <x v="56"/>
    <x v="2"/>
    <x v="8"/>
    <x v="0"/>
    <x v="0"/>
    <x v="20"/>
    <x v="0"/>
    <n v="65"/>
    <x v="20"/>
    <x v="2"/>
  </r>
  <r>
    <s v="TXN-142"/>
    <x v="57"/>
    <x v="3"/>
    <x v="9"/>
    <x v="1"/>
    <x v="1"/>
    <x v="21"/>
    <x v="1"/>
    <n v="179"/>
    <x v="21"/>
    <x v="0"/>
  </r>
  <r>
    <s v="TXN-143"/>
    <x v="58"/>
    <x v="4"/>
    <x v="10"/>
    <x v="2"/>
    <x v="2"/>
    <x v="22"/>
    <x v="0"/>
    <n v="38"/>
    <x v="22"/>
    <x v="1"/>
  </r>
  <r>
    <s v="TXN-144"/>
    <x v="59"/>
    <x v="5"/>
    <x v="11"/>
    <x v="3"/>
    <x v="3"/>
    <x v="23"/>
    <x v="2"/>
    <n v="1495"/>
    <x v="23"/>
    <x v="2"/>
  </r>
  <r>
    <s v="TXN-145"/>
    <x v="60"/>
    <x v="0"/>
    <x v="0"/>
    <x v="0"/>
    <x v="4"/>
    <x v="24"/>
    <x v="0"/>
    <n v="1999"/>
    <x v="24"/>
    <x v="0"/>
  </r>
  <r>
    <s v="TXN-146"/>
    <x v="61"/>
    <x v="1"/>
    <x v="1"/>
    <x v="1"/>
    <x v="0"/>
    <x v="25"/>
    <x v="1"/>
    <n v="110"/>
    <x v="25"/>
    <x v="1"/>
  </r>
  <r>
    <s v="TXN-147"/>
    <x v="62"/>
    <x v="2"/>
    <x v="2"/>
    <x v="2"/>
    <x v="1"/>
    <x v="26"/>
    <x v="0"/>
    <n v="149"/>
    <x v="26"/>
    <x v="2"/>
  </r>
  <r>
    <s v="TXN-148"/>
    <x v="63"/>
    <x v="3"/>
    <x v="3"/>
    <x v="3"/>
    <x v="2"/>
    <x v="27"/>
    <x v="0"/>
    <n v="185"/>
    <x v="27"/>
    <x v="0"/>
  </r>
  <r>
    <s v="TXN-149"/>
    <x v="64"/>
    <x v="4"/>
    <x v="4"/>
    <x v="0"/>
    <x v="3"/>
    <x v="28"/>
    <x v="1"/>
    <n v="149"/>
    <x v="28"/>
    <x v="1"/>
  </r>
  <r>
    <s v="TXN-150"/>
    <x v="65"/>
    <x v="5"/>
    <x v="5"/>
    <x v="1"/>
    <x v="4"/>
    <x v="29"/>
    <x v="0"/>
    <n v="999"/>
    <x v="29"/>
    <x v="2"/>
  </r>
  <r>
    <s v="TXN-151"/>
    <x v="66"/>
    <x v="0"/>
    <x v="6"/>
    <x v="2"/>
    <x v="0"/>
    <x v="0"/>
    <x v="0"/>
    <n v="79"/>
    <x v="0"/>
    <x v="0"/>
  </r>
  <r>
    <s v="TXN-152"/>
    <x v="67"/>
    <x v="1"/>
    <x v="7"/>
    <x v="3"/>
    <x v="1"/>
    <x v="1"/>
    <x v="1"/>
    <n v="129"/>
    <x v="1"/>
    <x v="1"/>
  </r>
  <r>
    <s v="TXN-153"/>
    <x v="68"/>
    <x v="2"/>
    <x v="8"/>
    <x v="0"/>
    <x v="2"/>
    <x v="2"/>
    <x v="0"/>
    <n v="88"/>
    <x v="2"/>
    <x v="2"/>
  </r>
  <r>
    <s v="TXN-154"/>
    <x v="69"/>
    <x v="3"/>
    <x v="9"/>
    <x v="1"/>
    <x v="3"/>
    <x v="3"/>
    <x v="2"/>
    <n v="179"/>
    <x v="3"/>
    <x v="0"/>
  </r>
  <r>
    <s v="TXN-155"/>
    <x v="70"/>
    <x v="4"/>
    <x v="10"/>
    <x v="2"/>
    <x v="4"/>
    <x v="4"/>
    <x v="0"/>
    <n v="349"/>
    <x v="4"/>
    <x v="1"/>
  </r>
  <r>
    <s v="TXN-156"/>
    <x v="71"/>
    <x v="5"/>
    <x v="11"/>
    <x v="3"/>
    <x v="0"/>
    <x v="5"/>
    <x v="1"/>
    <n v="89"/>
    <x v="5"/>
    <x v="2"/>
  </r>
  <r>
    <s v="TXN-157"/>
    <x v="72"/>
    <x v="0"/>
    <x v="0"/>
    <x v="0"/>
    <x v="1"/>
    <x v="6"/>
    <x v="0"/>
    <n v="399"/>
    <x v="6"/>
    <x v="0"/>
  </r>
  <r>
    <s v="TXN-158"/>
    <x v="73"/>
    <x v="1"/>
    <x v="1"/>
    <x v="1"/>
    <x v="2"/>
    <x v="7"/>
    <x v="0"/>
    <n v="24"/>
    <x v="7"/>
    <x v="1"/>
  </r>
  <r>
    <s v="TXN-159"/>
    <x v="74"/>
    <x v="2"/>
    <x v="2"/>
    <x v="2"/>
    <x v="3"/>
    <x v="8"/>
    <x v="1"/>
    <n v="249"/>
    <x v="8"/>
    <x v="2"/>
  </r>
  <r>
    <s v="TXN-160"/>
    <x v="75"/>
    <x v="3"/>
    <x v="3"/>
    <x v="3"/>
    <x v="4"/>
    <x v="9"/>
    <x v="0"/>
    <n v="1099"/>
    <x v="9"/>
    <x v="0"/>
  </r>
  <r>
    <s v="TXN-161"/>
    <x v="76"/>
    <x v="4"/>
    <x v="4"/>
    <x v="0"/>
    <x v="0"/>
    <x v="10"/>
    <x v="0"/>
    <n v="95"/>
    <x v="10"/>
    <x v="1"/>
  </r>
  <r>
    <s v="TXN-162"/>
    <x v="77"/>
    <x v="5"/>
    <x v="5"/>
    <x v="1"/>
    <x v="1"/>
    <x v="11"/>
    <x v="1"/>
    <n v="549"/>
    <x v="11"/>
    <x v="2"/>
  </r>
  <r>
    <s v="TXN-163"/>
    <x v="78"/>
    <x v="0"/>
    <x v="6"/>
    <x v="2"/>
    <x v="2"/>
    <x v="12"/>
    <x v="0"/>
    <n v="125"/>
    <x v="12"/>
    <x v="0"/>
  </r>
  <r>
    <s v="TXN-164"/>
    <x v="79"/>
    <x v="1"/>
    <x v="7"/>
    <x v="3"/>
    <x v="3"/>
    <x v="13"/>
    <x v="2"/>
    <n v="299"/>
    <x v="13"/>
    <x v="1"/>
  </r>
  <r>
    <s v="TXN-165"/>
    <x v="80"/>
    <x v="2"/>
    <x v="8"/>
    <x v="0"/>
    <x v="4"/>
    <x v="14"/>
    <x v="0"/>
    <n v="249"/>
    <x v="14"/>
    <x v="2"/>
  </r>
  <r>
    <s v="TXN-166"/>
    <x v="81"/>
    <x v="3"/>
    <x v="9"/>
    <x v="1"/>
    <x v="0"/>
    <x v="15"/>
    <x v="1"/>
    <n v="180"/>
    <x v="15"/>
    <x v="0"/>
  </r>
  <r>
    <s v="TXN-167"/>
    <x v="82"/>
    <x v="4"/>
    <x v="10"/>
    <x v="2"/>
    <x v="1"/>
    <x v="16"/>
    <x v="0"/>
    <n v="549"/>
    <x v="16"/>
    <x v="1"/>
  </r>
  <r>
    <s v="TXN-168"/>
    <x v="83"/>
    <x v="5"/>
    <x v="11"/>
    <x v="3"/>
    <x v="2"/>
    <x v="17"/>
    <x v="0"/>
    <n v="42"/>
    <x v="17"/>
    <x v="2"/>
  </r>
  <r>
    <s v="TXN-169"/>
    <x v="0"/>
    <x v="0"/>
    <x v="0"/>
    <x v="0"/>
    <x v="3"/>
    <x v="18"/>
    <x v="1"/>
    <n v="349"/>
    <x v="18"/>
    <x v="0"/>
  </r>
  <r>
    <s v="TXN-170"/>
    <x v="1"/>
    <x v="1"/>
    <x v="1"/>
    <x v="1"/>
    <x v="4"/>
    <x v="19"/>
    <x v="0"/>
    <n v="1299"/>
    <x v="19"/>
    <x v="1"/>
  </r>
  <r>
    <s v="TXN-171"/>
    <x v="2"/>
    <x v="2"/>
    <x v="2"/>
    <x v="2"/>
    <x v="0"/>
    <x v="20"/>
    <x v="0"/>
    <n v="65"/>
    <x v="20"/>
    <x v="2"/>
  </r>
  <r>
    <s v="TXN-172"/>
    <x v="3"/>
    <x v="3"/>
    <x v="3"/>
    <x v="3"/>
    <x v="1"/>
    <x v="21"/>
    <x v="1"/>
    <n v="179"/>
    <x v="21"/>
    <x v="0"/>
  </r>
  <r>
    <s v="TXN-173"/>
    <x v="4"/>
    <x v="4"/>
    <x v="4"/>
    <x v="0"/>
    <x v="2"/>
    <x v="22"/>
    <x v="0"/>
    <n v="38"/>
    <x v="22"/>
    <x v="1"/>
  </r>
  <r>
    <s v="TXN-174"/>
    <x v="5"/>
    <x v="5"/>
    <x v="5"/>
    <x v="1"/>
    <x v="3"/>
    <x v="23"/>
    <x v="2"/>
    <n v="1495"/>
    <x v="23"/>
    <x v="2"/>
  </r>
  <r>
    <s v="TXN-175"/>
    <x v="6"/>
    <x v="0"/>
    <x v="6"/>
    <x v="2"/>
    <x v="4"/>
    <x v="24"/>
    <x v="0"/>
    <n v="1999"/>
    <x v="24"/>
    <x v="0"/>
  </r>
  <r>
    <s v="TXN-176"/>
    <x v="7"/>
    <x v="1"/>
    <x v="7"/>
    <x v="3"/>
    <x v="0"/>
    <x v="25"/>
    <x v="1"/>
    <n v="110"/>
    <x v="25"/>
    <x v="1"/>
  </r>
  <r>
    <s v="TXN-177"/>
    <x v="8"/>
    <x v="2"/>
    <x v="8"/>
    <x v="0"/>
    <x v="1"/>
    <x v="26"/>
    <x v="0"/>
    <n v="149"/>
    <x v="26"/>
    <x v="2"/>
  </r>
  <r>
    <s v="TXN-178"/>
    <x v="9"/>
    <x v="3"/>
    <x v="9"/>
    <x v="1"/>
    <x v="2"/>
    <x v="27"/>
    <x v="0"/>
    <n v="185"/>
    <x v="27"/>
    <x v="0"/>
  </r>
  <r>
    <s v="TXN-179"/>
    <x v="10"/>
    <x v="4"/>
    <x v="10"/>
    <x v="2"/>
    <x v="3"/>
    <x v="28"/>
    <x v="1"/>
    <n v="149"/>
    <x v="28"/>
    <x v="1"/>
  </r>
  <r>
    <s v="TXN-180"/>
    <x v="11"/>
    <x v="5"/>
    <x v="11"/>
    <x v="3"/>
    <x v="4"/>
    <x v="29"/>
    <x v="0"/>
    <n v="999"/>
    <x v="29"/>
    <x v="2"/>
  </r>
  <r>
    <s v="TXN-181"/>
    <x v="12"/>
    <x v="0"/>
    <x v="0"/>
    <x v="0"/>
    <x v="0"/>
    <x v="0"/>
    <x v="0"/>
    <n v="79"/>
    <x v="0"/>
    <x v="0"/>
  </r>
  <r>
    <s v="TXN-182"/>
    <x v="13"/>
    <x v="1"/>
    <x v="1"/>
    <x v="1"/>
    <x v="1"/>
    <x v="1"/>
    <x v="1"/>
    <n v="129"/>
    <x v="1"/>
    <x v="1"/>
  </r>
  <r>
    <s v="TXN-183"/>
    <x v="14"/>
    <x v="2"/>
    <x v="2"/>
    <x v="2"/>
    <x v="2"/>
    <x v="2"/>
    <x v="0"/>
    <n v="88"/>
    <x v="2"/>
    <x v="2"/>
  </r>
  <r>
    <s v="TXN-184"/>
    <x v="15"/>
    <x v="3"/>
    <x v="3"/>
    <x v="3"/>
    <x v="3"/>
    <x v="3"/>
    <x v="2"/>
    <n v="179"/>
    <x v="3"/>
    <x v="0"/>
  </r>
  <r>
    <s v="TXN-185"/>
    <x v="16"/>
    <x v="4"/>
    <x v="4"/>
    <x v="0"/>
    <x v="4"/>
    <x v="4"/>
    <x v="0"/>
    <n v="349"/>
    <x v="4"/>
    <x v="1"/>
  </r>
  <r>
    <s v="TXN-186"/>
    <x v="17"/>
    <x v="5"/>
    <x v="5"/>
    <x v="1"/>
    <x v="0"/>
    <x v="5"/>
    <x v="1"/>
    <n v="89"/>
    <x v="5"/>
    <x v="2"/>
  </r>
  <r>
    <s v="TXN-187"/>
    <x v="18"/>
    <x v="0"/>
    <x v="6"/>
    <x v="2"/>
    <x v="1"/>
    <x v="6"/>
    <x v="0"/>
    <n v="399"/>
    <x v="6"/>
    <x v="0"/>
  </r>
  <r>
    <s v="TXN-188"/>
    <x v="19"/>
    <x v="1"/>
    <x v="7"/>
    <x v="3"/>
    <x v="2"/>
    <x v="7"/>
    <x v="0"/>
    <n v="24"/>
    <x v="7"/>
    <x v="1"/>
  </r>
  <r>
    <s v="TXN-189"/>
    <x v="20"/>
    <x v="2"/>
    <x v="8"/>
    <x v="0"/>
    <x v="3"/>
    <x v="8"/>
    <x v="1"/>
    <n v="249"/>
    <x v="8"/>
    <x v="2"/>
  </r>
  <r>
    <s v="TXN-190"/>
    <x v="21"/>
    <x v="3"/>
    <x v="9"/>
    <x v="1"/>
    <x v="4"/>
    <x v="9"/>
    <x v="0"/>
    <n v="1099"/>
    <x v="9"/>
    <x v="0"/>
  </r>
  <r>
    <s v="TXN-191"/>
    <x v="22"/>
    <x v="4"/>
    <x v="10"/>
    <x v="2"/>
    <x v="0"/>
    <x v="10"/>
    <x v="0"/>
    <n v="95"/>
    <x v="10"/>
    <x v="1"/>
  </r>
  <r>
    <s v="TXN-192"/>
    <x v="23"/>
    <x v="5"/>
    <x v="11"/>
    <x v="3"/>
    <x v="1"/>
    <x v="11"/>
    <x v="1"/>
    <n v="549"/>
    <x v="11"/>
    <x v="2"/>
  </r>
  <r>
    <s v="TXN-193"/>
    <x v="24"/>
    <x v="0"/>
    <x v="0"/>
    <x v="0"/>
    <x v="2"/>
    <x v="12"/>
    <x v="0"/>
    <n v="125"/>
    <x v="12"/>
    <x v="0"/>
  </r>
  <r>
    <s v="TXN-194"/>
    <x v="25"/>
    <x v="1"/>
    <x v="1"/>
    <x v="1"/>
    <x v="3"/>
    <x v="13"/>
    <x v="2"/>
    <n v="299"/>
    <x v="13"/>
    <x v="1"/>
  </r>
  <r>
    <s v="TXN-195"/>
    <x v="26"/>
    <x v="2"/>
    <x v="2"/>
    <x v="2"/>
    <x v="4"/>
    <x v="14"/>
    <x v="0"/>
    <n v="249"/>
    <x v="14"/>
    <x v="2"/>
  </r>
  <r>
    <s v="TXN-196"/>
    <x v="27"/>
    <x v="3"/>
    <x v="3"/>
    <x v="3"/>
    <x v="0"/>
    <x v="15"/>
    <x v="1"/>
    <n v="180"/>
    <x v="15"/>
    <x v="0"/>
  </r>
  <r>
    <s v="TXN-197"/>
    <x v="28"/>
    <x v="4"/>
    <x v="4"/>
    <x v="0"/>
    <x v="1"/>
    <x v="16"/>
    <x v="0"/>
    <n v="549"/>
    <x v="16"/>
    <x v="1"/>
  </r>
  <r>
    <s v="TXN-198"/>
    <x v="29"/>
    <x v="5"/>
    <x v="5"/>
    <x v="1"/>
    <x v="2"/>
    <x v="17"/>
    <x v="0"/>
    <n v="42"/>
    <x v="17"/>
    <x v="2"/>
  </r>
  <r>
    <s v="TXN-199"/>
    <x v="30"/>
    <x v="0"/>
    <x v="6"/>
    <x v="2"/>
    <x v="3"/>
    <x v="18"/>
    <x v="1"/>
    <n v="349"/>
    <x v="18"/>
    <x v="0"/>
  </r>
  <r>
    <s v="TXN-200"/>
    <x v="31"/>
    <x v="1"/>
    <x v="7"/>
    <x v="3"/>
    <x v="4"/>
    <x v="19"/>
    <x v="0"/>
    <n v="1299"/>
    <x v="19"/>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
  <r>
    <s v="TXN-002"/>
    <s v="2026-03-03"/>
    <s v="March"/>
    <s v="Chris Anderson"/>
    <s v="East"/>
    <s v="Home Appliances"/>
    <s v="Instant Pot"/>
    <n v="2"/>
    <n v="129"/>
    <n v="258"/>
    <s v="Budget"/>
  </r>
  <r>
    <s v="TXN-003"/>
    <s v="2026-04-04"/>
    <s v="April"/>
    <s v="Amanda Thomas"/>
    <s v="West"/>
    <s v="Beauty"/>
    <s v="Tatcha Serum"/>
    <n v="1"/>
    <n v="88"/>
    <n v="88"/>
    <s v="Premium"/>
  </r>
  <r>
    <s v="TXN-004"/>
    <s v="2026-05-05"/>
    <s v="May"/>
    <s v="Sarah Connor"/>
    <s v="North"/>
    <s v="Sports"/>
    <s v="TRX System"/>
    <n v="3"/>
    <n v="179"/>
    <n v="537"/>
    <s v="Standard"/>
  </r>
  <r>
    <s v="TXN-005"/>
    <s v="2026-06-06"/>
    <s v="June"/>
    <s v="Lisa Martinez"/>
    <s v="South"/>
    <s v="Electronics"/>
    <s v="Sony Headphones"/>
    <n v="1"/>
    <n v="349"/>
    <n v="349"/>
    <s v="Budget"/>
  </r>
  <r>
    <s v="TXN-006"/>
    <s v="2026-01-07"/>
    <s v="January"/>
    <s v="David Lee"/>
    <s v="East"/>
    <s v="Clothing"/>
    <s v="Nike Hoodie"/>
    <n v="2"/>
    <n v="89"/>
    <n v="178"/>
    <s v="Premium"/>
  </r>
  <r>
    <s v="TXN-007"/>
    <s v="2026-02-08"/>
    <s v="February"/>
    <s v="Joshua Jackson"/>
    <s v="West"/>
    <s v="Home Appliances"/>
    <s v="KitchenAid Mixer"/>
    <n v="1"/>
    <n v="399"/>
    <n v="399"/>
    <s v="Standard"/>
  </r>
  <r>
    <s v="TXN-008"/>
    <s v="2026-03-09"/>
    <s v="March"/>
    <s v="Mike Johnson"/>
    <s v="North"/>
    <s v="Beauty"/>
    <s v="MAC Lipstick"/>
    <n v="1"/>
    <n v="24"/>
    <n v="24"/>
    <s v="Budget"/>
  </r>
  <r>
    <s v="TXN-009"/>
    <s v="2026-04-10"/>
    <s v="April"/>
    <s v="Emily Davis"/>
    <s v="South"/>
    <s v="Sports"/>
    <s v="Yeti Cooler"/>
    <n v="2"/>
    <n v="249"/>
    <n v="498"/>
    <s v="Premium"/>
  </r>
  <r>
    <s v="TXN-010"/>
    <s v="2026-05-11"/>
    <s v="May"/>
    <s v="Jennifer Taylor"/>
    <s v="East"/>
    <s v="Electronics"/>
    <s v="Dell Laptop"/>
    <n v="1"/>
    <n v="1099"/>
    <n v="1099"/>
    <s v="Standard"/>
  </r>
  <r>
    <s v="TXN-011"/>
    <s v="2026-06-12"/>
    <s v="June"/>
    <s v="Ashley White"/>
    <s v="West"/>
    <s v="Clothing"/>
    <s v="Ralph Lauren Polo"/>
    <n v="1"/>
    <n v="95"/>
    <n v="95"/>
    <s v="Budget"/>
  </r>
  <r>
    <s v="TXN-012"/>
    <s v="2026-01-13"/>
    <s v="January"/>
    <s v="James Wilson"/>
    <s v="North"/>
    <s v="Home Appliances"/>
    <s v="Dyson Vacuum"/>
    <n v="2"/>
    <n v="549"/>
    <n v="1098"/>
    <s v="Premium"/>
  </r>
  <r>
    <s v="TXN-013"/>
    <s v="2026-02-14"/>
    <s v="February"/>
    <s v="Robert Brown"/>
    <s v="South"/>
    <s v="Beauty"/>
    <s v="Dior Perfume"/>
    <n v="1"/>
    <n v="125"/>
    <n v="125"/>
    <s v="Standard"/>
  </r>
  <r>
    <s v="TXN-014"/>
    <s v="2026-03-15"/>
    <s v="March"/>
    <s v="Chris Anderson"/>
    <s v="East"/>
    <s v="Sports"/>
    <s v="Garmin Watch"/>
    <n v="3"/>
    <n v="299"/>
    <n v="897"/>
    <s v="Budget"/>
  </r>
  <r>
    <s v="TXN-015"/>
    <s v="2026-04-16"/>
    <s v="April"/>
    <s v="Amanda Thomas"/>
    <s v="West"/>
    <s v="Electronics"/>
    <s v="AirPods Pro"/>
    <n v="1"/>
    <n v="249"/>
    <n v="249"/>
    <s v="Premium"/>
  </r>
  <r>
    <s v="TXN-016"/>
    <s v="2026-05-17"/>
    <s v="May"/>
    <s v="Sarah Connor"/>
    <s v="North"/>
    <s v="Clothing"/>
    <s v="Jordan Sneakers"/>
    <n v="2"/>
    <n v="180"/>
    <n v="360"/>
    <s v="Standard"/>
  </r>
  <r>
    <s v="TXN-017"/>
    <s v="2026-06-18"/>
    <s v="June"/>
    <s v="Lisa Martinez"/>
    <s v="South"/>
    <s v="Home Appliances"/>
    <s v="Weber Grill"/>
    <n v="1"/>
    <n v="549"/>
    <n v="549"/>
    <s v="Budget"/>
  </r>
  <r>
    <s v="TXN-018"/>
    <s v="2026-01-19"/>
    <s v="January"/>
    <s v="David Lee"/>
    <s v="East"/>
    <s v="Beauty"/>
    <s v="Fenty Foundation"/>
    <n v="1"/>
    <n v="42"/>
    <n v="42"/>
    <s v="Premium"/>
  </r>
  <r>
    <s v="TXN-019"/>
    <s v="2026-02-20"/>
    <s v="February"/>
    <s v="Joshua Jackson"/>
    <s v="West"/>
    <s v="Sports"/>
    <s v="Bowflex Dumbbells"/>
    <n v="2"/>
    <n v="349"/>
    <n v="698"/>
    <s v="Standard"/>
  </r>
  <r>
    <s v="TXN-020"/>
    <s v="2026-03-21"/>
    <s v="March"/>
    <s v="Mike Johnson"/>
    <s v="North"/>
    <s v="Electronics"/>
    <s v="Samsung TV"/>
    <n v="1"/>
    <n v="1299"/>
    <n v="1299"/>
    <s v="Budget"/>
  </r>
  <r>
    <s v="TXN-021"/>
    <s v="2026-04-22"/>
    <s v="April"/>
    <s v="Emily Davis"/>
    <s v="South"/>
    <s v="Clothing"/>
    <s v="Zara Dress"/>
    <n v="1"/>
    <n v="65"/>
    <n v="65"/>
    <s v="Premium"/>
  </r>
  <r>
    <s v="TXN-022"/>
    <s v="2026-05-23"/>
    <s v="May"/>
    <s v="Jennifer Taylor"/>
    <s v="East"/>
    <s v="Home Appliances"/>
    <s v="Keurig Coffee"/>
    <n v="2"/>
    <n v="179"/>
    <n v="358"/>
    <s v="Standard"/>
  </r>
  <r>
    <s v="TXN-023"/>
    <s v="2026-06-24"/>
    <s v="June"/>
    <s v="Ashley White"/>
    <s v="West"/>
    <s v="Beauty"/>
    <s v="Charlotte Tilbury"/>
    <n v="1"/>
    <n v="38"/>
    <n v="38"/>
    <s v="Budget"/>
  </r>
  <r>
    <s v="TXN-024"/>
    <s v="2026-01-25"/>
    <s v="January"/>
    <s v="James Wilson"/>
    <s v="North"/>
    <s v="Sports"/>
    <s v="Peloton Bike"/>
    <n v="3"/>
    <n v="1495"/>
    <n v="4485"/>
    <s v="Premium"/>
  </r>
  <r>
    <s v="TXN-025"/>
    <s v="2026-02-26"/>
    <s v="February"/>
    <s v="Robert Brown"/>
    <s v="South"/>
    <s v="Electronics"/>
    <s v="MacBook Pro"/>
    <n v="1"/>
    <n v="1999"/>
    <n v="1999"/>
    <s v="Standard"/>
  </r>
  <r>
    <s v="TXN-026"/>
    <s v="2026-03-27"/>
    <s v="March"/>
    <s v="Chris Anderson"/>
    <s v="East"/>
    <s v="Clothing"/>
    <s v="Adidas Tracksuit"/>
    <n v="2"/>
    <n v="110"/>
    <n v="220"/>
    <s v="Budget"/>
  </r>
  <r>
    <s v="TXN-027"/>
    <s v="2026-04-28"/>
    <s v="April"/>
    <s v="Amanda Thomas"/>
    <s v="West"/>
    <s v="Home Appliances"/>
    <s v="Ninja Blender"/>
    <n v="1"/>
    <n v="149"/>
    <n v="149"/>
    <s v="Premium"/>
  </r>
  <r>
    <s v="TXN-028"/>
    <s v="2026-05-01"/>
    <s v="May"/>
    <s v="Sarah Connor"/>
    <s v="North"/>
    <s v="Beauty"/>
    <s v="SK-II Essence"/>
    <n v="1"/>
    <n v="185"/>
    <n v="185"/>
    <s v="Standard"/>
  </r>
  <r>
    <s v="TXN-029"/>
    <s v="2026-06-02"/>
    <s v="June"/>
    <s v="Lisa Martinez"/>
    <s v="South"/>
    <s v="Sports"/>
    <s v="Fitbit Tracker"/>
    <n v="2"/>
    <n v="149"/>
    <n v="298"/>
    <s v="Budget"/>
  </r>
  <r>
    <s v="TXN-030"/>
    <s v="2026-01-03"/>
    <s v="January"/>
    <s v="David Lee"/>
    <s v="East"/>
    <s v="Electronics"/>
    <s v="iPhone 15"/>
    <n v="1"/>
    <n v="999"/>
    <n v="999"/>
    <s v="Premium"/>
  </r>
  <r>
    <s v="TXN-031"/>
    <s v="2026-02-04"/>
    <s v="February"/>
    <s v="Joshua Jackson"/>
    <s v="West"/>
    <s v="Clothing"/>
    <s v="Levi Jeans"/>
    <n v="1"/>
    <n v="79"/>
    <n v="79"/>
    <s v="Standard"/>
  </r>
  <r>
    <s v="TXN-032"/>
    <s v="2026-03-05"/>
    <s v="March"/>
    <s v="Mike Johnson"/>
    <s v="North"/>
    <s v="Home Appliances"/>
    <s v="Instant Pot"/>
    <n v="2"/>
    <n v="129"/>
    <n v="258"/>
    <s v="Budget"/>
  </r>
  <r>
    <s v="TXN-033"/>
    <s v="2026-04-06"/>
    <s v="April"/>
    <s v="Emily Davis"/>
    <s v="South"/>
    <s v="Beauty"/>
    <s v="Tatcha Serum"/>
    <n v="1"/>
    <n v="88"/>
    <n v="88"/>
    <s v="Premium"/>
  </r>
  <r>
    <s v="TXN-034"/>
    <s v="2026-05-07"/>
    <s v="May"/>
    <s v="Jennifer Taylor"/>
    <s v="East"/>
    <s v="Sports"/>
    <s v="TRX System"/>
    <n v="3"/>
    <n v="179"/>
    <n v="537"/>
    <s v="Standard"/>
  </r>
  <r>
    <s v="TXN-035"/>
    <s v="2026-06-08"/>
    <s v="June"/>
    <s v="Ashley White"/>
    <s v="West"/>
    <s v="Electronics"/>
    <s v="Sony Headphones"/>
    <n v="1"/>
    <n v="349"/>
    <n v="349"/>
    <s v="Budget"/>
  </r>
  <r>
    <s v="TXN-036"/>
    <s v="2026-01-09"/>
    <s v="January"/>
    <s v="James Wilson"/>
    <s v="North"/>
    <s v="Clothing"/>
    <s v="Nike Hoodie"/>
    <n v="2"/>
    <n v="89"/>
    <n v="178"/>
    <s v="Premium"/>
  </r>
  <r>
    <s v="TXN-037"/>
    <s v="2026-02-10"/>
    <s v="February"/>
    <s v="Robert Brown"/>
    <s v="South"/>
    <s v="Home Appliances"/>
    <s v="KitchenAid Mixer"/>
    <n v="1"/>
    <n v="399"/>
    <n v="399"/>
    <s v="Standard"/>
  </r>
  <r>
    <s v="TXN-038"/>
    <s v="2026-03-11"/>
    <s v="March"/>
    <s v="Chris Anderson"/>
    <s v="East"/>
    <s v="Beauty"/>
    <s v="MAC Lipstick"/>
    <n v="1"/>
    <n v="24"/>
    <n v="24"/>
    <s v="Budget"/>
  </r>
  <r>
    <s v="TXN-039"/>
    <s v="2026-04-12"/>
    <s v="April"/>
    <s v="Amanda Thomas"/>
    <s v="West"/>
    <s v="Sports"/>
    <s v="Yeti Cooler"/>
    <n v="2"/>
    <n v="249"/>
    <n v="498"/>
    <s v="Premium"/>
  </r>
  <r>
    <s v="TXN-040"/>
    <s v="2026-05-13"/>
    <s v="May"/>
    <s v="Sarah Connor"/>
    <s v="North"/>
    <s v="Electronics"/>
    <s v="Dell Laptop"/>
    <n v="1"/>
    <n v="1099"/>
    <n v="1099"/>
    <s v="Standard"/>
  </r>
  <r>
    <s v="TXN-041"/>
    <s v="2026-06-14"/>
    <s v="June"/>
    <s v="Lisa Martinez"/>
    <s v="South"/>
    <s v="Clothing"/>
    <s v="Ralph Lauren Polo"/>
    <n v="1"/>
    <n v="95"/>
    <n v="95"/>
    <s v="Budget"/>
  </r>
  <r>
    <s v="TXN-042"/>
    <s v="2026-01-15"/>
    <s v="January"/>
    <s v="David Lee"/>
    <s v="East"/>
    <s v="Home Appliances"/>
    <s v="Dyson Vacuum"/>
    <n v="2"/>
    <n v="549"/>
    <n v="1098"/>
    <s v="Premium"/>
  </r>
  <r>
    <s v="TXN-043"/>
    <s v="2026-02-16"/>
    <s v="February"/>
    <s v="Joshua Jackson"/>
    <s v="West"/>
    <s v="Beauty"/>
    <s v="Dior Perfume"/>
    <n v="1"/>
    <n v="125"/>
    <n v="125"/>
    <s v="Standard"/>
  </r>
  <r>
    <s v="TXN-044"/>
    <s v="2026-03-17"/>
    <s v="March"/>
    <s v="Mike Johnson"/>
    <s v="North"/>
    <s v="Sports"/>
    <s v="Garmin Watch"/>
    <n v="3"/>
    <n v="299"/>
    <n v="897"/>
    <s v="Budget"/>
  </r>
  <r>
    <s v="TXN-045"/>
    <s v="2026-04-18"/>
    <s v="April"/>
    <s v="Emily Davis"/>
    <s v="South"/>
    <s v="Electronics"/>
    <s v="AirPods Pro"/>
    <n v="1"/>
    <n v="249"/>
    <n v="249"/>
    <s v="Premium"/>
  </r>
  <r>
    <s v="TXN-046"/>
    <s v="2026-05-19"/>
    <s v="May"/>
    <s v="Jennifer Taylor"/>
    <s v="East"/>
    <s v="Clothing"/>
    <s v="Jordan Sneakers"/>
    <n v="2"/>
    <n v="180"/>
    <n v="360"/>
    <s v="Standard"/>
  </r>
  <r>
    <s v="TXN-047"/>
    <s v="2026-06-20"/>
    <s v="June"/>
    <s v="Ashley White"/>
    <s v="West"/>
    <s v="Home Appliances"/>
    <s v="Weber Grill"/>
    <n v="1"/>
    <n v="549"/>
    <n v="549"/>
    <s v="Budget"/>
  </r>
  <r>
    <s v="TXN-048"/>
    <s v="2026-01-21"/>
    <s v="January"/>
    <s v="James Wilson"/>
    <s v="North"/>
    <s v="Beauty"/>
    <s v="Fenty Foundation"/>
    <n v="1"/>
    <n v="42"/>
    <n v="42"/>
    <s v="Premium"/>
  </r>
  <r>
    <s v="TXN-049"/>
    <s v="2026-02-22"/>
    <s v="February"/>
    <s v="Robert Brown"/>
    <s v="South"/>
    <s v="Sports"/>
    <s v="Bowflex Dumbbells"/>
    <n v="2"/>
    <n v="349"/>
    <n v="698"/>
    <s v="Standard"/>
  </r>
  <r>
    <s v="TXN-050"/>
    <s v="2026-03-23"/>
    <s v="March"/>
    <s v="Chris Anderson"/>
    <s v="East"/>
    <s v="Electronics"/>
    <s v="Samsung TV"/>
    <n v="1"/>
    <n v="1299"/>
    <n v="1299"/>
    <s v="Budget"/>
  </r>
  <r>
    <s v="TXN-051"/>
    <s v="2026-04-24"/>
    <s v="April"/>
    <s v="Amanda Thomas"/>
    <s v="West"/>
    <s v="Clothing"/>
    <s v="Zara Dress"/>
    <n v="1"/>
    <n v="65"/>
    <n v="65"/>
    <s v="Premium"/>
  </r>
  <r>
    <s v="TXN-052"/>
    <s v="2026-05-25"/>
    <s v="May"/>
    <s v="Sarah Connor"/>
    <s v="North"/>
    <s v="Home Appliances"/>
    <s v="Keurig Coffee"/>
    <n v="2"/>
    <n v="179"/>
    <n v="358"/>
    <s v="Standard"/>
  </r>
  <r>
    <s v="TXN-053"/>
    <s v="2026-06-26"/>
    <s v="June"/>
    <s v="Lisa Martinez"/>
    <s v="South"/>
    <s v="Beauty"/>
    <s v="Charlotte Tilbury"/>
    <n v="1"/>
    <n v="38"/>
    <n v="38"/>
    <s v="Budget"/>
  </r>
  <r>
    <s v="TXN-054"/>
    <s v="2026-01-27"/>
    <s v="January"/>
    <s v="David Lee"/>
    <s v="East"/>
    <s v="Sports"/>
    <s v="Peloton Bike"/>
    <n v="3"/>
    <n v="1495"/>
    <n v="4485"/>
    <s v="Premium"/>
  </r>
  <r>
    <s v="TXN-055"/>
    <s v="2026-02-28"/>
    <s v="February"/>
    <s v="Joshua Jackson"/>
    <s v="West"/>
    <s v="Electronics"/>
    <s v="MacBook Pro"/>
    <n v="1"/>
    <n v="1999"/>
    <n v="1999"/>
    <s v="Standard"/>
  </r>
  <r>
    <s v="TXN-056"/>
    <s v="2026-03-01"/>
    <s v="March"/>
    <s v="Mike Johnson"/>
    <s v="North"/>
    <s v="Clothing"/>
    <s v="Adidas Tracksuit"/>
    <n v="2"/>
    <n v="110"/>
    <n v="220"/>
    <s v="Budget"/>
  </r>
  <r>
    <s v="TXN-057"/>
    <s v="2026-04-02"/>
    <s v="April"/>
    <s v="Emily Davis"/>
    <s v="South"/>
    <s v="Home Appliances"/>
    <s v="Ninja Blender"/>
    <n v="1"/>
    <n v="149"/>
    <n v="149"/>
    <s v="Premium"/>
  </r>
  <r>
    <s v="TXN-058"/>
    <s v="2026-05-03"/>
    <s v="May"/>
    <s v="Jennifer Taylor"/>
    <s v="East"/>
    <s v="Beauty"/>
    <s v="SK-II Essence"/>
    <n v="1"/>
    <n v="185"/>
    <n v="185"/>
    <s v="Standard"/>
  </r>
  <r>
    <s v="TXN-059"/>
    <s v="2026-06-04"/>
    <s v="June"/>
    <s v="Ashley White"/>
    <s v="West"/>
    <s v="Sports"/>
    <s v="Fitbit Tracker"/>
    <n v="2"/>
    <n v="149"/>
    <n v="298"/>
    <s v="Budget"/>
  </r>
  <r>
    <s v="TXN-060"/>
    <s v="2026-01-05"/>
    <s v="January"/>
    <s v="James Wilson"/>
    <s v="North"/>
    <s v="Electronics"/>
    <s v="iPhone 15"/>
    <n v="1"/>
    <n v="999"/>
    <n v="999"/>
    <s v="Premium"/>
  </r>
  <r>
    <s v="TXN-061"/>
    <s v="2026-02-06"/>
    <s v="February"/>
    <s v="Robert Brown"/>
    <s v="South"/>
    <s v="Clothing"/>
    <s v="Levi Jeans"/>
    <n v="1"/>
    <n v="79"/>
    <n v="79"/>
    <s v="Standard"/>
  </r>
  <r>
    <s v="TXN-062"/>
    <s v="2026-03-07"/>
    <s v="March"/>
    <s v="Chris Anderson"/>
    <s v="East"/>
    <s v="Home Appliances"/>
    <s v="Instant Pot"/>
    <n v="2"/>
    <n v="129"/>
    <n v="258"/>
    <s v="Budget"/>
  </r>
  <r>
    <s v="TXN-063"/>
    <s v="2026-04-08"/>
    <s v="April"/>
    <s v="Amanda Thomas"/>
    <s v="West"/>
    <s v="Beauty"/>
    <s v="Tatcha Serum"/>
    <n v="1"/>
    <n v="88"/>
    <n v="88"/>
    <s v="Premium"/>
  </r>
  <r>
    <s v="TXN-064"/>
    <s v="2026-05-09"/>
    <s v="May"/>
    <s v="Sarah Connor"/>
    <s v="North"/>
    <s v="Sports"/>
    <s v="TRX System"/>
    <n v="3"/>
    <n v="179"/>
    <n v="537"/>
    <s v="Standard"/>
  </r>
  <r>
    <s v="TXN-065"/>
    <s v="2026-06-10"/>
    <s v="June"/>
    <s v="Lisa Martinez"/>
    <s v="South"/>
    <s v="Electronics"/>
    <s v="Sony Headphones"/>
    <n v="1"/>
    <n v="349"/>
    <n v="349"/>
    <s v="Budget"/>
  </r>
  <r>
    <s v="TXN-066"/>
    <s v="2026-01-11"/>
    <s v="January"/>
    <s v="David Lee"/>
    <s v="East"/>
    <s v="Clothing"/>
    <s v="Nike Hoodie"/>
    <n v="2"/>
    <n v="89"/>
    <n v="178"/>
    <s v="Premium"/>
  </r>
  <r>
    <s v="TXN-067"/>
    <s v="2026-02-12"/>
    <s v="February"/>
    <s v="Joshua Jackson"/>
    <s v="West"/>
    <s v="Home Appliances"/>
    <s v="KitchenAid Mixer"/>
    <n v="1"/>
    <n v="399"/>
    <n v="399"/>
    <s v="Standard"/>
  </r>
  <r>
    <s v="TXN-068"/>
    <s v="2026-03-13"/>
    <s v="March"/>
    <s v="Mike Johnson"/>
    <s v="North"/>
    <s v="Beauty"/>
    <s v="MAC Lipstick"/>
    <n v="1"/>
    <n v="24"/>
    <n v="24"/>
    <s v="Budget"/>
  </r>
  <r>
    <s v="TXN-069"/>
    <s v="2026-04-14"/>
    <s v="April"/>
    <s v="Emily Davis"/>
    <s v="South"/>
    <s v="Sports"/>
    <s v="Yeti Cooler"/>
    <n v="2"/>
    <n v="249"/>
    <n v="498"/>
    <s v="Premium"/>
  </r>
  <r>
    <s v="TXN-070"/>
    <s v="2026-05-15"/>
    <s v="May"/>
    <s v="Jennifer Taylor"/>
    <s v="East"/>
    <s v="Electronics"/>
    <s v="Dell Laptop"/>
    <n v="1"/>
    <n v="1099"/>
    <n v="1099"/>
    <s v="Standard"/>
  </r>
  <r>
    <s v="TXN-071"/>
    <s v="2026-06-16"/>
    <s v="June"/>
    <s v="Ashley White"/>
    <s v="West"/>
    <s v="Clothing"/>
    <s v="Ralph Lauren Polo"/>
    <n v="1"/>
    <n v="95"/>
    <n v="95"/>
    <s v="Budget"/>
  </r>
  <r>
    <s v="TXN-072"/>
    <s v="2026-01-17"/>
    <s v="January"/>
    <s v="James Wilson"/>
    <s v="North"/>
    <s v="Home Appliances"/>
    <s v="Dyson Vacuum"/>
    <n v="2"/>
    <n v="549"/>
    <n v="1098"/>
    <s v="Premium"/>
  </r>
  <r>
    <s v="TXN-073"/>
    <s v="2026-02-18"/>
    <s v="February"/>
    <s v="Robert Brown"/>
    <s v="South"/>
    <s v="Beauty"/>
    <s v="Dior Perfume"/>
    <n v="1"/>
    <n v="125"/>
    <n v="125"/>
    <s v="Standard"/>
  </r>
  <r>
    <s v="TXN-074"/>
    <s v="2026-03-19"/>
    <s v="March"/>
    <s v="Chris Anderson"/>
    <s v="East"/>
    <s v="Sports"/>
    <s v="Garmin Watch"/>
    <n v="3"/>
    <n v="299"/>
    <n v="897"/>
    <s v="Budget"/>
  </r>
  <r>
    <s v="TXN-075"/>
    <s v="2026-04-20"/>
    <s v="April"/>
    <s v="Amanda Thomas"/>
    <s v="West"/>
    <s v="Electronics"/>
    <s v="AirPods Pro"/>
    <n v="1"/>
    <n v="249"/>
    <n v="249"/>
    <s v="Premium"/>
  </r>
  <r>
    <s v="TXN-076"/>
    <s v="2026-05-21"/>
    <s v="May"/>
    <s v="Sarah Connor"/>
    <s v="North"/>
    <s v="Clothing"/>
    <s v="Jordan Sneakers"/>
    <n v="2"/>
    <n v="180"/>
    <n v="360"/>
    <s v="Standard"/>
  </r>
  <r>
    <s v="TXN-077"/>
    <s v="2026-06-22"/>
    <s v="June"/>
    <s v="Lisa Martinez"/>
    <s v="South"/>
    <s v="Home Appliances"/>
    <s v="Weber Grill"/>
    <n v="1"/>
    <n v="549"/>
    <n v="549"/>
    <s v="Budget"/>
  </r>
  <r>
    <s v="TXN-078"/>
    <s v="2026-01-23"/>
    <s v="January"/>
    <s v="David Lee"/>
    <s v="East"/>
    <s v="Beauty"/>
    <s v="Fenty Foundation"/>
    <n v="1"/>
    <n v="42"/>
    <n v="42"/>
    <s v="Premium"/>
  </r>
  <r>
    <s v="TXN-079"/>
    <s v="2026-02-24"/>
    <s v="February"/>
    <s v="Joshua Jackson"/>
    <s v="West"/>
    <s v="Sports"/>
    <s v="Bowflex Dumbbells"/>
    <n v="2"/>
    <n v="349"/>
    <n v="698"/>
    <s v="Standard"/>
  </r>
  <r>
    <s v="TXN-080"/>
    <s v="2026-03-25"/>
    <s v="March"/>
    <s v="Mike Johnson"/>
    <s v="North"/>
    <s v="Electronics"/>
    <s v="Samsung TV"/>
    <n v="1"/>
    <n v="1299"/>
    <n v="1299"/>
    <s v="Budget"/>
  </r>
  <r>
    <s v="TXN-081"/>
    <s v="2026-04-26"/>
    <s v="April"/>
    <s v="Emily Davis"/>
    <s v="South"/>
    <s v="Clothing"/>
    <s v="Zara Dress"/>
    <n v="1"/>
    <n v="65"/>
    <n v="65"/>
    <s v="Premium"/>
  </r>
  <r>
    <s v="TXN-082"/>
    <s v="2026-05-27"/>
    <s v="May"/>
    <s v="Jennifer Taylor"/>
    <s v="East"/>
    <s v="Home Appliances"/>
    <s v="Keurig Coffee"/>
    <n v="2"/>
    <n v="179"/>
    <n v="358"/>
    <s v="Standard"/>
  </r>
  <r>
    <s v="TXN-083"/>
    <s v="2026-06-28"/>
    <s v="June"/>
    <s v="Ashley White"/>
    <s v="West"/>
    <s v="Beauty"/>
    <s v="Charlotte Tilbury"/>
    <n v="1"/>
    <n v="38"/>
    <n v="38"/>
    <s v="Budget"/>
  </r>
  <r>
    <s v="TXN-084"/>
    <s v="2026-01-01"/>
    <s v="January"/>
    <s v="James Wilson"/>
    <s v="North"/>
    <s v="Sports"/>
    <s v="Peloton Bike"/>
    <n v="3"/>
    <n v="1495"/>
    <n v="4485"/>
    <s v="Premium"/>
  </r>
  <r>
    <s v="TXN-085"/>
    <s v="2026-02-02"/>
    <s v="February"/>
    <s v="Robert Brown"/>
    <s v="South"/>
    <s v="Electronics"/>
    <s v="MacBook Pro"/>
    <n v="1"/>
    <n v="1999"/>
    <n v="1999"/>
    <s v="Standard"/>
  </r>
  <r>
    <s v="TXN-086"/>
    <s v="2026-03-03"/>
    <s v="March"/>
    <s v="Chris Anderson"/>
    <s v="East"/>
    <s v="Clothing"/>
    <s v="Adidas Tracksuit"/>
    <n v="2"/>
    <n v="110"/>
    <n v="220"/>
    <s v="Budget"/>
  </r>
  <r>
    <s v="TXN-087"/>
    <s v="2026-04-04"/>
    <s v="April"/>
    <s v="Amanda Thomas"/>
    <s v="West"/>
    <s v="Home Appliances"/>
    <s v="Ninja Blender"/>
    <n v="1"/>
    <n v="149"/>
    <n v="149"/>
    <s v="Premium"/>
  </r>
  <r>
    <s v="TXN-088"/>
    <s v="2026-05-05"/>
    <s v="May"/>
    <s v="Sarah Connor"/>
    <s v="North"/>
    <s v="Beauty"/>
    <s v="SK-II Essence"/>
    <n v="1"/>
    <n v="185"/>
    <n v="185"/>
    <s v="Standard"/>
  </r>
  <r>
    <s v="TXN-089"/>
    <s v="2026-06-06"/>
    <s v="June"/>
    <s v="Lisa Martinez"/>
    <s v="South"/>
    <s v="Sports"/>
    <s v="Fitbit Tracker"/>
    <n v="2"/>
    <n v="149"/>
    <n v="298"/>
    <s v="Budget"/>
  </r>
  <r>
    <s v="TXN-090"/>
    <s v="2026-01-07"/>
    <s v="January"/>
    <s v="David Lee"/>
    <s v="East"/>
    <s v="Electronics"/>
    <s v="iPhone 15"/>
    <n v="1"/>
    <n v="999"/>
    <n v="999"/>
    <s v="Premium"/>
  </r>
  <r>
    <s v="TXN-091"/>
    <s v="2026-02-08"/>
    <s v="February"/>
    <s v="Joshua Jackson"/>
    <s v="West"/>
    <s v="Clothing"/>
    <s v="Levi Jeans"/>
    <n v="1"/>
    <n v="79"/>
    <n v="79"/>
    <s v="Standard"/>
  </r>
  <r>
    <s v="TXN-092"/>
    <s v="2026-03-09"/>
    <s v="March"/>
    <s v="Mike Johnson"/>
    <s v="North"/>
    <s v="Home Appliances"/>
    <s v="Instant Pot"/>
    <n v="2"/>
    <n v="129"/>
    <n v="258"/>
    <s v="Budget"/>
  </r>
  <r>
    <s v="TXN-093"/>
    <s v="2026-04-10"/>
    <s v="April"/>
    <s v="Emily Davis"/>
    <s v="South"/>
    <s v="Beauty"/>
    <s v="Tatcha Serum"/>
    <n v="1"/>
    <n v="88"/>
    <n v="88"/>
    <s v="Premium"/>
  </r>
  <r>
    <s v="TXN-094"/>
    <s v="2026-05-11"/>
    <s v="May"/>
    <s v="Jennifer Taylor"/>
    <s v="East"/>
    <s v="Sports"/>
    <s v="TRX System"/>
    <n v="3"/>
    <n v="179"/>
    <n v="537"/>
    <s v="Standard"/>
  </r>
  <r>
    <s v="TXN-095"/>
    <s v="2026-06-12"/>
    <s v="June"/>
    <s v="Ashley White"/>
    <s v="West"/>
    <s v="Electronics"/>
    <s v="Sony Headphones"/>
    <n v="1"/>
    <n v="349"/>
    <n v="349"/>
    <s v="Budget"/>
  </r>
  <r>
    <s v="TXN-096"/>
    <s v="2026-01-13"/>
    <s v="January"/>
    <s v="James Wilson"/>
    <s v="North"/>
    <s v="Clothing"/>
    <s v="Nike Hoodie"/>
    <n v="2"/>
    <n v="89"/>
    <n v="178"/>
    <s v="Premium"/>
  </r>
  <r>
    <s v="TXN-097"/>
    <s v="2026-02-14"/>
    <s v="February"/>
    <s v="Robert Brown"/>
    <s v="South"/>
    <s v="Home Appliances"/>
    <s v="KitchenAid Mixer"/>
    <n v="1"/>
    <n v="399"/>
    <n v="399"/>
    <s v="Standard"/>
  </r>
  <r>
    <s v="TXN-098"/>
    <s v="2026-03-15"/>
    <s v="March"/>
    <s v="Chris Anderson"/>
    <s v="East"/>
    <s v="Beauty"/>
    <s v="MAC Lipstick"/>
    <n v="1"/>
    <n v="24"/>
    <n v="24"/>
    <s v="Budget"/>
  </r>
  <r>
    <s v="TXN-099"/>
    <s v="2026-04-16"/>
    <s v="April"/>
    <s v="Amanda Thomas"/>
    <s v="West"/>
    <s v="Sports"/>
    <s v="Yeti Cooler"/>
    <n v="2"/>
    <n v="249"/>
    <n v="498"/>
    <s v="Premium"/>
  </r>
  <r>
    <s v="TXN-100"/>
    <s v="2026-05-17"/>
    <s v="May"/>
    <s v="Sarah Connor"/>
    <s v="North"/>
    <s v="Electronics"/>
    <s v="Dell Laptop"/>
    <n v="1"/>
    <n v="1099"/>
    <n v="1099"/>
    <s v="Standard"/>
  </r>
  <r>
    <s v="TXN-101"/>
    <s v="2026-06-18"/>
    <s v="June"/>
    <s v="Lisa Martinez"/>
    <s v="South"/>
    <s v="Clothing"/>
    <s v="Ralph Lauren Polo"/>
    <n v="1"/>
    <n v="95"/>
    <n v="95"/>
    <s v="Budget"/>
  </r>
  <r>
    <s v="TXN-102"/>
    <s v="2026-01-19"/>
    <s v="January"/>
    <s v="David Lee"/>
    <s v="East"/>
    <s v="Home Appliances"/>
    <s v="Dyson Vacuum"/>
    <n v="2"/>
    <n v="549"/>
    <n v="1098"/>
    <s v="Premium"/>
  </r>
  <r>
    <s v="TXN-103"/>
    <s v="2026-02-20"/>
    <s v="February"/>
    <s v="Joshua Jackson"/>
    <s v="West"/>
    <s v="Beauty"/>
    <s v="Dior Perfume"/>
    <n v="1"/>
    <n v="125"/>
    <n v="125"/>
    <s v="Standard"/>
  </r>
  <r>
    <s v="TXN-104"/>
    <s v="2026-03-21"/>
    <s v="March"/>
    <s v="Mike Johnson"/>
    <s v="North"/>
    <s v="Sports"/>
    <s v="Garmin Watch"/>
    <n v="3"/>
    <n v="299"/>
    <n v="897"/>
    <s v="Budget"/>
  </r>
  <r>
    <s v="TXN-105"/>
    <s v="2026-04-22"/>
    <s v="April"/>
    <s v="Emily Davis"/>
    <s v="South"/>
    <s v="Electronics"/>
    <s v="AirPods Pro"/>
    <n v="1"/>
    <n v="249"/>
    <n v="249"/>
    <s v="Premium"/>
  </r>
  <r>
    <s v="TXN-106"/>
    <s v="2026-05-23"/>
    <s v="May"/>
    <s v="Jennifer Taylor"/>
    <s v="East"/>
    <s v="Clothing"/>
    <s v="Jordan Sneakers"/>
    <n v="2"/>
    <n v="180"/>
    <n v="360"/>
    <s v="Standard"/>
  </r>
  <r>
    <s v="TXN-107"/>
    <s v="2026-06-24"/>
    <s v="June"/>
    <s v="Ashley White"/>
    <s v="West"/>
    <s v="Home Appliances"/>
    <s v="Weber Grill"/>
    <n v="1"/>
    <n v="549"/>
    <n v="549"/>
    <s v="Budget"/>
  </r>
  <r>
    <s v="TXN-108"/>
    <s v="2026-01-25"/>
    <s v="January"/>
    <s v="James Wilson"/>
    <s v="North"/>
    <s v="Beauty"/>
    <s v="Fenty Foundation"/>
    <n v="1"/>
    <n v="42"/>
    <n v="42"/>
    <s v="Premium"/>
  </r>
  <r>
    <s v="TXN-109"/>
    <s v="2026-02-26"/>
    <s v="February"/>
    <s v="Robert Brown"/>
    <s v="South"/>
    <s v="Sports"/>
    <s v="Bowflex Dumbbells"/>
    <n v="2"/>
    <n v="349"/>
    <n v="698"/>
    <s v="Standard"/>
  </r>
  <r>
    <s v="TXN-110"/>
    <s v="2026-03-27"/>
    <s v="March"/>
    <s v="Chris Anderson"/>
    <s v="East"/>
    <s v="Electronics"/>
    <s v="Samsung TV"/>
    <n v="1"/>
    <n v="1299"/>
    <n v="1299"/>
    <s v="Budget"/>
  </r>
  <r>
    <s v="TXN-111"/>
    <s v="2026-04-28"/>
    <s v="April"/>
    <s v="Amanda Thomas"/>
    <s v="West"/>
    <s v="Clothing"/>
    <s v="Zara Dress"/>
    <n v="1"/>
    <n v="65"/>
    <n v="65"/>
    <s v="Premium"/>
  </r>
  <r>
    <s v="TXN-112"/>
    <s v="2026-05-01"/>
    <s v="May"/>
    <s v="Sarah Connor"/>
    <s v="North"/>
    <s v="Home Appliances"/>
    <s v="Keurig Coffee"/>
    <n v="2"/>
    <n v="179"/>
    <n v="358"/>
    <s v="Standard"/>
  </r>
  <r>
    <s v="TXN-113"/>
    <s v="2026-06-02"/>
    <s v="June"/>
    <s v="Lisa Martinez"/>
    <s v="South"/>
    <s v="Beauty"/>
    <s v="Charlotte Tilbury"/>
    <n v="1"/>
    <n v="38"/>
    <n v="38"/>
    <s v="Budget"/>
  </r>
  <r>
    <s v="TXN-114"/>
    <s v="2026-01-03"/>
    <s v="January"/>
    <s v="David Lee"/>
    <s v="East"/>
    <s v="Sports"/>
    <s v="Peloton Bike"/>
    <n v="3"/>
    <n v="1495"/>
    <n v="4485"/>
    <s v="Premium"/>
  </r>
  <r>
    <s v="TXN-115"/>
    <s v="2026-02-04"/>
    <s v="February"/>
    <s v="Joshua Jackson"/>
    <s v="West"/>
    <s v="Electronics"/>
    <s v="MacBook Pro"/>
    <n v="1"/>
    <n v="1999"/>
    <n v="1999"/>
    <s v="Standard"/>
  </r>
  <r>
    <s v="TXN-116"/>
    <s v="2026-03-05"/>
    <s v="March"/>
    <s v="Mike Johnson"/>
    <s v="North"/>
    <s v="Clothing"/>
    <s v="Adidas Tracksuit"/>
    <n v="2"/>
    <n v="110"/>
    <n v="220"/>
    <s v="Budget"/>
  </r>
  <r>
    <s v="TXN-117"/>
    <s v="2026-04-06"/>
    <s v="April"/>
    <s v="Emily Davis"/>
    <s v="South"/>
    <s v="Home Appliances"/>
    <s v="Ninja Blender"/>
    <n v="1"/>
    <n v="149"/>
    <n v="149"/>
    <s v="Premium"/>
  </r>
  <r>
    <s v="TXN-118"/>
    <s v="2026-05-07"/>
    <s v="May"/>
    <s v="Jennifer Taylor"/>
    <s v="East"/>
    <s v="Beauty"/>
    <s v="SK-II Essence"/>
    <n v="1"/>
    <n v="185"/>
    <n v="185"/>
    <s v="Standard"/>
  </r>
  <r>
    <s v="TXN-119"/>
    <s v="2026-06-08"/>
    <s v="June"/>
    <s v="Ashley White"/>
    <s v="West"/>
    <s v="Sports"/>
    <s v="Fitbit Tracker"/>
    <n v="2"/>
    <n v="149"/>
    <n v="298"/>
    <s v="Budget"/>
  </r>
  <r>
    <s v="TXN-120"/>
    <s v="2026-01-09"/>
    <s v="January"/>
    <s v="James Wilson"/>
    <s v="North"/>
    <s v="Electronics"/>
    <s v="iPhone 15"/>
    <n v="1"/>
    <n v="999"/>
    <n v="999"/>
    <s v="Premium"/>
  </r>
  <r>
    <s v="TXN-121"/>
    <s v="2026-02-10"/>
    <s v="February"/>
    <s v="Robert Brown"/>
    <s v="South"/>
    <s v="Clothing"/>
    <s v="Levi Jeans"/>
    <n v="1"/>
    <n v="79"/>
    <n v="79"/>
    <s v="Standard"/>
  </r>
  <r>
    <s v="TXN-122"/>
    <s v="2026-03-11"/>
    <s v="March"/>
    <s v="Chris Anderson"/>
    <s v="East"/>
    <s v="Home Appliances"/>
    <s v="Instant Pot"/>
    <n v="2"/>
    <n v="129"/>
    <n v="258"/>
    <s v="Budget"/>
  </r>
  <r>
    <s v="TXN-123"/>
    <s v="2026-04-12"/>
    <s v="April"/>
    <s v="Amanda Thomas"/>
    <s v="West"/>
    <s v="Beauty"/>
    <s v="Tatcha Serum"/>
    <n v="1"/>
    <n v="88"/>
    <n v="88"/>
    <s v="Premium"/>
  </r>
  <r>
    <s v="TXN-124"/>
    <s v="2026-05-13"/>
    <s v="May"/>
    <s v="Sarah Connor"/>
    <s v="North"/>
    <s v="Sports"/>
    <s v="TRX System"/>
    <n v="3"/>
    <n v="179"/>
    <n v="537"/>
    <s v="Standard"/>
  </r>
  <r>
    <s v="TXN-125"/>
    <s v="2026-06-14"/>
    <s v="June"/>
    <s v="Lisa Martinez"/>
    <s v="South"/>
    <s v="Electronics"/>
    <s v="Sony Headphones"/>
    <n v="1"/>
    <n v="349"/>
    <n v="349"/>
    <s v="Budget"/>
  </r>
  <r>
    <s v="TXN-126"/>
    <s v="2026-01-15"/>
    <s v="January"/>
    <s v="David Lee"/>
    <s v="East"/>
    <s v="Clothing"/>
    <s v="Nike Hoodie"/>
    <n v="2"/>
    <n v="89"/>
    <n v="178"/>
    <s v="Premium"/>
  </r>
  <r>
    <s v="TXN-127"/>
    <s v="2026-02-16"/>
    <s v="February"/>
    <s v="Joshua Jackson"/>
    <s v="West"/>
    <s v="Home Appliances"/>
    <s v="KitchenAid Mixer"/>
    <n v="1"/>
    <n v="399"/>
    <n v="399"/>
    <s v="Standard"/>
  </r>
  <r>
    <s v="TXN-128"/>
    <s v="2026-03-17"/>
    <s v="March"/>
    <s v="Mike Johnson"/>
    <s v="North"/>
    <s v="Beauty"/>
    <s v="MAC Lipstick"/>
    <n v="1"/>
    <n v="24"/>
    <n v="24"/>
    <s v="Budget"/>
  </r>
  <r>
    <s v="TXN-129"/>
    <s v="2026-04-18"/>
    <s v="April"/>
    <s v="Emily Davis"/>
    <s v="South"/>
    <s v="Sports"/>
    <s v="Yeti Cooler"/>
    <n v="2"/>
    <n v="249"/>
    <n v="498"/>
    <s v="Premium"/>
  </r>
  <r>
    <s v="TXN-130"/>
    <s v="2026-05-19"/>
    <s v="May"/>
    <s v="Jennifer Taylor"/>
    <s v="East"/>
    <s v="Electronics"/>
    <s v="Dell Laptop"/>
    <n v="1"/>
    <n v="1099"/>
    <n v="1099"/>
    <s v="Standard"/>
  </r>
  <r>
    <s v="TXN-131"/>
    <s v="2026-06-20"/>
    <s v="June"/>
    <s v="Ashley White"/>
    <s v="West"/>
    <s v="Clothing"/>
    <s v="Ralph Lauren Polo"/>
    <n v="1"/>
    <n v="95"/>
    <n v="95"/>
    <s v="Budget"/>
  </r>
  <r>
    <s v="TXN-132"/>
    <s v="2026-01-21"/>
    <s v="January"/>
    <s v="James Wilson"/>
    <s v="North"/>
    <s v="Home Appliances"/>
    <s v="Dyson Vacuum"/>
    <n v="2"/>
    <n v="549"/>
    <n v="1098"/>
    <s v="Premium"/>
  </r>
  <r>
    <s v="TXN-133"/>
    <s v="2026-02-22"/>
    <s v="February"/>
    <s v="Robert Brown"/>
    <s v="South"/>
    <s v="Beauty"/>
    <s v="Dior Perfume"/>
    <n v="1"/>
    <n v="125"/>
    <n v="125"/>
    <s v="Standard"/>
  </r>
  <r>
    <s v="TXN-134"/>
    <s v="2026-03-23"/>
    <s v="March"/>
    <s v="Chris Anderson"/>
    <s v="East"/>
    <s v="Sports"/>
    <s v="Garmin Watch"/>
    <n v="3"/>
    <n v="299"/>
    <n v="897"/>
    <s v="Budget"/>
  </r>
  <r>
    <s v="TXN-135"/>
    <s v="2026-04-24"/>
    <s v="April"/>
    <s v="Amanda Thomas"/>
    <s v="West"/>
    <s v="Electronics"/>
    <s v="AirPods Pro"/>
    <n v="1"/>
    <n v="249"/>
    <n v="249"/>
    <s v="Premium"/>
  </r>
  <r>
    <s v="TXN-136"/>
    <s v="2026-05-25"/>
    <s v="May"/>
    <s v="Sarah Connor"/>
    <s v="North"/>
    <s v="Clothing"/>
    <s v="Jordan Sneakers"/>
    <n v="2"/>
    <n v="180"/>
    <n v="360"/>
    <s v="Standard"/>
  </r>
  <r>
    <s v="TXN-137"/>
    <s v="2026-06-26"/>
    <s v="June"/>
    <s v="Lisa Martinez"/>
    <s v="South"/>
    <s v="Home Appliances"/>
    <s v="Weber Grill"/>
    <n v="1"/>
    <n v="549"/>
    <n v="549"/>
    <s v="Budget"/>
  </r>
  <r>
    <s v="TXN-138"/>
    <s v="2026-01-27"/>
    <s v="January"/>
    <s v="David Lee"/>
    <s v="East"/>
    <s v="Beauty"/>
    <s v="Fenty Foundation"/>
    <n v="1"/>
    <n v="42"/>
    <n v="42"/>
    <s v="Premium"/>
  </r>
  <r>
    <s v="TXN-139"/>
    <s v="2026-02-28"/>
    <s v="February"/>
    <s v="Joshua Jackson"/>
    <s v="West"/>
    <s v="Sports"/>
    <s v="Bowflex Dumbbells"/>
    <n v="2"/>
    <n v="349"/>
    <n v="698"/>
    <s v="Standard"/>
  </r>
  <r>
    <s v="TXN-140"/>
    <s v="2026-03-01"/>
    <s v="March"/>
    <s v="Mike Johnson"/>
    <s v="North"/>
    <s v="Electronics"/>
    <s v="Samsung TV"/>
    <n v="1"/>
    <n v="1299"/>
    <n v="1299"/>
    <s v="Budget"/>
  </r>
  <r>
    <s v="TXN-141"/>
    <s v="2026-04-02"/>
    <s v="April"/>
    <s v="Emily Davis"/>
    <s v="South"/>
    <s v="Clothing"/>
    <s v="Zara Dress"/>
    <n v="1"/>
    <n v="65"/>
    <n v="65"/>
    <s v="Premium"/>
  </r>
  <r>
    <s v="TXN-142"/>
    <s v="2026-05-03"/>
    <s v="May"/>
    <s v="Jennifer Taylor"/>
    <s v="East"/>
    <s v="Home Appliances"/>
    <s v="Keurig Coffee"/>
    <n v="2"/>
    <n v="179"/>
    <n v="358"/>
    <s v="Standard"/>
  </r>
  <r>
    <s v="TXN-143"/>
    <s v="2026-06-04"/>
    <s v="June"/>
    <s v="Ashley White"/>
    <s v="West"/>
    <s v="Beauty"/>
    <s v="Charlotte Tilbury"/>
    <n v="1"/>
    <n v="38"/>
    <n v="38"/>
    <s v="Budget"/>
  </r>
  <r>
    <s v="TXN-144"/>
    <s v="2026-01-05"/>
    <s v="January"/>
    <s v="James Wilson"/>
    <s v="North"/>
    <s v="Sports"/>
    <s v="Peloton Bike"/>
    <n v="3"/>
    <n v="1495"/>
    <n v="4485"/>
    <s v="Premium"/>
  </r>
  <r>
    <s v="TXN-145"/>
    <s v="2026-02-06"/>
    <s v="February"/>
    <s v="Robert Brown"/>
    <s v="South"/>
    <s v="Electronics"/>
    <s v="MacBook Pro"/>
    <n v="1"/>
    <n v="1999"/>
    <n v="1999"/>
    <s v="Standard"/>
  </r>
  <r>
    <s v="TXN-146"/>
    <s v="2026-03-07"/>
    <s v="March"/>
    <s v="Chris Anderson"/>
    <s v="East"/>
    <s v="Clothing"/>
    <s v="Adidas Tracksuit"/>
    <n v="2"/>
    <n v="110"/>
    <n v="220"/>
    <s v="Budget"/>
  </r>
  <r>
    <s v="TXN-147"/>
    <s v="2026-04-08"/>
    <s v="April"/>
    <s v="Amanda Thomas"/>
    <s v="West"/>
    <s v="Home Appliances"/>
    <s v="Ninja Blender"/>
    <n v="1"/>
    <n v="149"/>
    <n v="149"/>
    <s v="Premium"/>
  </r>
  <r>
    <s v="TXN-148"/>
    <s v="2026-05-09"/>
    <s v="May"/>
    <s v="Sarah Connor"/>
    <s v="North"/>
    <s v="Beauty"/>
    <s v="SK-II Essence"/>
    <n v="1"/>
    <n v="185"/>
    <n v="185"/>
    <s v="Standard"/>
  </r>
  <r>
    <s v="TXN-149"/>
    <s v="2026-06-10"/>
    <s v="June"/>
    <s v="Lisa Martinez"/>
    <s v="South"/>
    <s v="Sports"/>
    <s v="Fitbit Tracker"/>
    <n v="2"/>
    <n v="149"/>
    <n v="298"/>
    <s v="Budget"/>
  </r>
  <r>
    <s v="TXN-150"/>
    <s v="2026-01-11"/>
    <s v="January"/>
    <s v="David Lee"/>
    <s v="East"/>
    <s v="Electronics"/>
    <s v="iPhone 15"/>
    <n v="1"/>
    <n v="999"/>
    <n v="999"/>
    <s v="Premium"/>
  </r>
  <r>
    <s v="TXN-151"/>
    <s v="2026-02-12"/>
    <s v="February"/>
    <s v="Joshua Jackson"/>
    <s v="West"/>
    <s v="Clothing"/>
    <s v="Levi Jeans"/>
    <n v="1"/>
    <n v="79"/>
    <n v="79"/>
    <s v="Standard"/>
  </r>
  <r>
    <s v="TXN-152"/>
    <s v="2026-03-13"/>
    <s v="March"/>
    <s v="Mike Johnson"/>
    <s v="North"/>
    <s v="Home Appliances"/>
    <s v="Instant Pot"/>
    <n v="2"/>
    <n v="129"/>
    <n v="258"/>
    <s v="Budget"/>
  </r>
  <r>
    <s v="TXN-153"/>
    <s v="2026-04-14"/>
    <s v="April"/>
    <s v="Emily Davis"/>
    <s v="South"/>
    <s v="Beauty"/>
    <s v="Tatcha Serum"/>
    <n v="1"/>
    <n v="88"/>
    <n v="88"/>
    <s v="Premium"/>
  </r>
  <r>
    <s v="TXN-154"/>
    <s v="2026-05-15"/>
    <s v="May"/>
    <s v="Jennifer Taylor"/>
    <s v="East"/>
    <s v="Sports"/>
    <s v="TRX System"/>
    <n v="3"/>
    <n v="179"/>
    <n v="537"/>
    <s v="Standard"/>
  </r>
  <r>
    <s v="TXN-155"/>
    <s v="2026-06-16"/>
    <s v="June"/>
    <s v="Ashley White"/>
    <s v="West"/>
    <s v="Electronics"/>
    <s v="Sony Headphones"/>
    <n v="1"/>
    <n v="349"/>
    <n v="349"/>
    <s v="Budget"/>
  </r>
  <r>
    <s v="TXN-156"/>
    <s v="2026-01-17"/>
    <s v="January"/>
    <s v="James Wilson"/>
    <s v="North"/>
    <s v="Clothing"/>
    <s v="Nike Hoodie"/>
    <n v="2"/>
    <n v="89"/>
    <n v="178"/>
    <s v="Premium"/>
  </r>
  <r>
    <s v="TXN-157"/>
    <s v="2026-02-18"/>
    <s v="February"/>
    <s v="Robert Brown"/>
    <s v="South"/>
    <s v="Home Appliances"/>
    <s v="KitchenAid Mixer"/>
    <n v="1"/>
    <n v="399"/>
    <n v="399"/>
    <s v="Standard"/>
  </r>
  <r>
    <s v="TXN-158"/>
    <s v="2026-03-19"/>
    <s v="March"/>
    <s v="Chris Anderson"/>
    <s v="East"/>
    <s v="Beauty"/>
    <s v="MAC Lipstick"/>
    <n v="1"/>
    <n v="24"/>
    <n v="24"/>
    <s v="Budget"/>
  </r>
  <r>
    <s v="TXN-159"/>
    <s v="2026-04-20"/>
    <s v="April"/>
    <s v="Amanda Thomas"/>
    <s v="West"/>
    <s v="Sports"/>
    <s v="Yeti Cooler"/>
    <n v="2"/>
    <n v="249"/>
    <n v="498"/>
    <s v="Premium"/>
  </r>
  <r>
    <s v="TXN-160"/>
    <s v="2026-05-21"/>
    <s v="May"/>
    <s v="Sarah Connor"/>
    <s v="North"/>
    <s v="Electronics"/>
    <s v="Dell Laptop"/>
    <n v="1"/>
    <n v="1099"/>
    <n v="1099"/>
    <s v="Standard"/>
  </r>
  <r>
    <s v="TXN-161"/>
    <s v="2026-06-22"/>
    <s v="June"/>
    <s v="Lisa Martinez"/>
    <s v="South"/>
    <s v="Clothing"/>
    <s v="Ralph Lauren Polo"/>
    <n v="1"/>
    <n v="95"/>
    <n v="95"/>
    <s v="Budget"/>
  </r>
  <r>
    <s v="TXN-162"/>
    <s v="2026-01-23"/>
    <s v="January"/>
    <s v="David Lee"/>
    <s v="East"/>
    <s v="Home Appliances"/>
    <s v="Dyson Vacuum"/>
    <n v="2"/>
    <n v="549"/>
    <n v="1098"/>
    <s v="Premium"/>
  </r>
  <r>
    <s v="TXN-163"/>
    <s v="2026-02-24"/>
    <s v="February"/>
    <s v="Joshua Jackson"/>
    <s v="West"/>
    <s v="Beauty"/>
    <s v="Dior Perfume"/>
    <n v="1"/>
    <n v="125"/>
    <n v="125"/>
    <s v="Standard"/>
  </r>
  <r>
    <s v="TXN-164"/>
    <s v="2026-03-25"/>
    <s v="March"/>
    <s v="Mike Johnson"/>
    <s v="North"/>
    <s v="Sports"/>
    <s v="Garmin Watch"/>
    <n v="3"/>
    <n v="299"/>
    <n v="897"/>
    <s v="Budget"/>
  </r>
  <r>
    <s v="TXN-165"/>
    <s v="2026-04-26"/>
    <s v="April"/>
    <s v="Emily Davis"/>
    <s v="South"/>
    <s v="Electronics"/>
    <s v="AirPods Pro"/>
    <n v="1"/>
    <n v="249"/>
    <n v="249"/>
    <s v="Premium"/>
  </r>
  <r>
    <s v="TXN-166"/>
    <s v="2026-05-27"/>
    <s v="May"/>
    <s v="Jennifer Taylor"/>
    <s v="East"/>
    <s v="Clothing"/>
    <s v="Jordan Sneakers"/>
    <n v="2"/>
    <n v="180"/>
    <n v="360"/>
    <s v="Standard"/>
  </r>
  <r>
    <s v="TXN-167"/>
    <s v="2026-06-28"/>
    <s v="June"/>
    <s v="Ashley White"/>
    <s v="West"/>
    <s v="Home Appliances"/>
    <s v="Weber Grill"/>
    <n v="1"/>
    <n v="549"/>
    <n v="549"/>
    <s v="Budget"/>
  </r>
  <r>
    <s v="TXN-168"/>
    <s v="2026-01-01"/>
    <s v="January"/>
    <s v="James Wilson"/>
    <s v="North"/>
    <s v="Beauty"/>
    <s v="Fenty Foundation"/>
    <n v="1"/>
    <n v="42"/>
    <n v="42"/>
    <s v="Premium"/>
  </r>
  <r>
    <s v="TXN-169"/>
    <s v="2026-02-02"/>
    <s v="February"/>
    <s v="Robert Brown"/>
    <s v="South"/>
    <s v="Sports"/>
    <s v="Bowflex Dumbbells"/>
    <n v="2"/>
    <n v="349"/>
    <n v="698"/>
    <s v="Standard"/>
  </r>
  <r>
    <s v="TXN-170"/>
    <s v="2026-03-03"/>
    <s v="March"/>
    <s v="Chris Anderson"/>
    <s v="East"/>
    <s v="Electronics"/>
    <s v="Samsung TV"/>
    <n v="1"/>
    <n v="1299"/>
    <n v="1299"/>
    <s v="Budget"/>
  </r>
  <r>
    <s v="TXN-171"/>
    <s v="2026-04-04"/>
    <s v="April"/>
    <s v="Amanda Thomas"/>
    <s v="West"/>
    <s v="Clothing"/>
    <s v="Zara Dress"/>
    <n v="1"/>
    <n v="65"/>
    <n v="65"/>
    <s v="Premium"/>
  </r>
  <r>
    <s v="TXN-172"/>
    <s v="2026-05-05"/>
    <s v="May"/>
    <s v="Sarah Connor"/>
    <s v="North"/>
    <s v="Home Appliances"/>
    <s v="Keurig Coffee"/>
    <n v="2"/>
    <n v="179"/>
    <n v="358"/>
    <s v="Standard"/>
  </r>
  <r>
    <s v="TXN-173"/>
    <s v="2026-06-06"/>
    <s v="June"/>
    <s v="Lisa Martinez"/>
    <s v="South"/>
    <s v="Beauty"/>
    <s v="Charlotte Tilbury"/>
    <n v="1"/>
    <n v="38"/>
    <n v="38"/>
    <s v="Budget"/>
  </r>
  <r>
    <s v="TXN-174"/>
    <s v="2026-01-07"/>
    <s v="January"/>
    <s v="David Lee"/>
    <s v="East"/>
    <s v="Sports"/>
    <s v="Peloton Bike"/>
    <n v="3"/>
    <n v="1495"/>
    <n v="4485"/>
    <s v="Premium"/>
  </r>
  <r>
    <s v="TXN-175"/>
    <s v="2026-02-08"/>
    <s v="February"/>
    <s v="Joshua Jackson"/>
    <s v="West"/>
    <s v="Electronics"/>
    <s v="MacBook Pro"/>
    <n v="1"/>
    <n v="1999"/>
    <n v="1999"/>
    <s v="Standard"/>
  </r>
  <r>
    <s v="TXN-176"/>
    <s v="2026-03-09"/>
    <s v="March"/>
    <s v="Mike Johnson"/>
    <s v="North"/>
    <s v="Clothing"/>
    <s v="Adidas Tracksuit"/>
    <n v="2"/>
    <n v="110"/>
    <n v="220"/>
    <s v="Budget"/>
  </r>
  <r>
    <s v="TXN-177"/>
    <s v="2026-04-10"/>
    <s v="April"/>
    <s v="Emily Davis"/>
    <s v="South"/>
    <s v="Home Appliances"/>
    <s v="Ninja Blender"/>
    <n v="1"/>
    <n v="149"/>
    <n v="149"/>
    <s v="Premium"/>
  </r>
  <r>
    <s v="TXN-178"/>
    <s v="2026-05-11"/>
    <s v="May"/>
    <s v="Jennifer Taylor"/>
    <s v="East"/>
    <s v="Beauty"/>
    <s v="SK-II Essence"/>
    <n v="1"/>
    <n v="185"/>
    <n v="185"/>
    <s v="Standard"/>
  </r>
  <r>
    <s v="TXN-179"/>
    <s v="2026-06-12"/>
    <s v="June"/>
    <s v="Ashley White"/>
    <s v="West"/>
    <s v="Sports"/>
    <s v="Fitbit Tracker"/>
    <n v="2"/>
    <n v="149"/>
    <n v="298"/>
    <s v="Budget"/>
  </r>
  <r>
    <s v="TXN-180"/>
    <s v="2026-01-13"/>
    <s v="January"/>
    <s v="James Wilson"/>
    <s v="North"/>
    <s v="Electronics"/>
    <s v="iPhone 15"/>
    <n v="1"/>
    <n v="999"/>
    <n v="999"/>
    <s v="Premium"/>
  </r>
  <r>
    <s v="TXN-181"/>
    <s v="2026-02-14"/>
    <s v="February"/>
    <s v="Robert Brown"/>
    <s v="South"/>
    <s v="Clothing"/>
    <s v="Levi Jeans"/>
    <n v="1"/>
    <n v="79"/>
    <n v="79"/>
    <s v="Standard"/>
  </r>
  <r>
    <s v="TXN-182"/>
    <s v="2026-03-15"/>
    <s v="March"/>
    <s v="Chris Anderson"/>
    <s v="East"/>
    <s v="Home Appliances"/>
    <s v="Instant Pot"/>
    <n v="2"/>
    <n v="129"/>
    <n v="258"/>
    <s v="Budget"/>
  </r>
  <r>
    <s v="TXN-183"/>
    <s v="2026-04-16"/>
    <s v="April"/>
    <s v="Amanda Thomas"/>
    <s v="West"/>
    <s v="Beauty"/>
    <s v="Tatcha Serum"/>
    <n v="1"/>
    <n v="88"/>
    <n v="88"/>
    <s v="Premium"/>
  </r>
  <r>
    <s v="TXN-184"/>
    <s v="2026-05-17"/>
    <s v="May"/>
    <s v="Sarah Connor"/>
    <s v="North"/>
    <s v="Sports"/>
    <s v="TRX System"/>
    <n v="3"/>
    <n v="179"/>
    <n v="537"/>
    <s v="Standard"/>
  </r>
  <r>
    <s v="TXN-185"/>
    <s v="2026-06-18"/>
    <s v="June"/>
    <s v="Lisa Martinez"/>
    <s v="South"/>
    <s v="Electronics"/>
    <s v="Sony Headphones"/>
    <n v="1"/>
    <n v="349"/>
    <n v="349"/>
    <s v="Budget"/>
  </r>
  <r>
    <s v="TXN-186"/>
    <s v="2026-01-19"/>
    <s v="January"/>
    <s v="David Lee"/>
    <s v="East"/>
    <s v="Clothing"/>
    <s v="Nike Hoodie"/>
    <n v="2"/>
    <n v="89"/>
    <n v="178"/>
    <s v="Premium"/>
  </r>
  <r>
    <s v="TXN-187"/>
    <s v="2026-02-20"/>
    <s v="February"/>
    <s v="Joshua Jackson"/>
    <s v="West"/>
    <s v="Home Appliances"/>
    <s v="KitchenAid Mixer"/>
    <n v="1"/>
    <n v="399"/>
    <n v="399"/>
    <s v="Standard"/>
  </r>
  <r>
    <s v="TXN-188"/>
    <s v="2026-03-21"/>
    <s v="March"/>
    <s v="Mike Johnson"/>
    <s v="North"/>
    <s v="Beauty"/>
    <s v="MAC Lipstick"/>
    <n v="1"/>
    <n v="24"/>
    <n v="24"/>
    <s v="Budget"/>
  </r>
  <r>
    <s v="TXN-189"/>
    <s v="2026-04-22"/>
    <s v="April"/>
    <s v="Emily Davis"/>
    <s v="South"/>
    <s v="Sports"/>
    <s v="Yeti Cooler"/>
    <n v="2"/>
    <n v="249"/>
    <n v="498"/>
    <s v="Premium"/>
  </r>
  <r>
    <s v="TXN-190"/>
    <s v="2026-05-23"/>
    <s v="May"/>
    <s v="Jennifer Taylor"/>
    <s v="East"/>
    <s v="Electronics"/>
    <s v="Dell Laptop"/>
    <n v="1"/>
    <n v="1099"/>
    <n v="1099"/>
    <s v="Standard"/>
  </r>
  <r>
    <s v="TXN-191"/>
    <s v="2026-06-24"/>
    <s v="June"/>
    <s v="Ashley White"/>
    <s v="West"/>
    <s v="Clothing"/>
    <s v="Ralph Lauren Polo"/>
    <n v="1"/>
    <n v="95"/>
    <n v="95"/>
    <s v="Budget"/>
  </r>
  <r>
    <s v="TXN-192"/>
    <s v="2026-01-25"/>
    <s v="January"/>
    <s v="James Wilson"/>
    <s v="North"/>
    <s v="Home Appliances"/>
    <s v="Dyson Vacuum"/>
    <n v="2"/>
    <n v="549"/>
    <n v="1098"/>
    <s v="Premium"/>
  </r>
  <r>
    <s v="TXN-193"/>
    <s v="2026-02-26"/>
    <s v="February"/>
    <s v="Robert Brown"/>
    <s v="South"/>
    <s v="Beauty"/>
    <s v="Dior Perfume"/>
    <n v="1"/>
    <n v="125"/>
    <n v="125"/>
    <s v="Standard"/>
  </r>
  <r>
    <s v="TXN-194"/>
    <s v="2026-03-27"/>
    <s v="March"/>
    <s v="Chris Anderson"/>
    <s v="East"/>
    <s v="Sports"/>
    <s v="Garmin Watch"/>
    <n v="3"/>
    <n v="299"/>
    <n v="897"/>
    <s v="Budget"/>
  </r>
  <r>
    <s v="TXN-195"/>
    <s v="2026-04-28"/>
    <s v="April"/>
    <s v="Amanda Thomas"/>
    <s v="West"/>
    <s v="Electronics"/>
    <s v="AirPods Pro"/>
    <n v="1"/>
    <n v="249"/>
    <n v="249"/>
    <s v="Premium"/>
  </r>
  <r>
    <s v="TXN-196"/>
    <s v="2026-05-01"/>
    <s v="May"/>
    <s v="Sarah Connor"/>
    <s v="North"/>
    <s v="Clothing"/>
    <s v="Jordan Sneakers"/>
    <n v="2"/>
    <n v="180"/>
    <n v="360"/>
    <s v="Standard"/>
  </r>
  <r>
    <s v="TXN-197"/>
    <s v="2026-06-02"/>
    <s v="June"/>
    <s v="Lisa Martinez"/>
    <s v="South"/>
    <s v="Home Appliances"/>
    <s v="Weber Grill"/>
    <n v="1"/>
    <n v="549"/>
    <n v="549"/>
    <s v="Budget"/>
  </r>
  <r>
    <s v="TXN-198"/>
    <s v="2026-01-03"/>
    <s v="January"/>
    <s v="David Lee"/>
    <s v="East"/>
    <s v="Beauty"/>
    <s v="Fenty Foundation"/>
    <n v="1"/>
    <n v="42"/>
    <n v="42"/>
    <s v="Premium"/>
  </r>
  <r>
    <s v="TXN-199"/>
    <s v="2026-02-04"/>
    <s v="February"/>
    <s v="Joshua Jackson"/>
    <s v="West"/>
    <s v="Sports"/>
    <s v="Bowflex Dumbbells"/>
    <n v="2"/>
    <n v="349"/>
    <n v="698"/>
    <s v="Standard"/>
  </r>
  <r>
    <s v="TXN-200"/>
    <s v="2026-03-05"/>
    <s v="March"/>
    <s v="Mike Johnson"/>
    <s v="North"/>
    <s v="Electronics"/>
    <s v="Samsung TV"/>
    <n v="1"/>
    <n v="1299"/>
    <n v="1299"/>
    <s v="Budget"/>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
  <r>
    <s v="TXN-001"/>
    <d v="2026-02-02T00:00:00"/>
    <s v="February"/>
    <x v="0"/>
    <x v="0"/>
    <x v="0"/>
    <s v="Levi Jeans"/>
    <n v="1"/>
    <n v="79"/>
    <n v="79"/>
    <s v="Standard"/>
  </r>
  <r>
    <s v="TXN-002"/>
    <d v="2026-03-03T00:00:00"/>
    <s v="March"/>
    <x v="1"/>
    <x v="1"/>
    <x v="1"/>
    <s v="Instant Pot"/>
    <n v="2"/>
    <n v="129"/>
    <n v="258"/>
    <s v="Budget"/>
  </r>
  <r>
    <s v="TXN-003"/>
    <d v="2026-04-04T00:00:00"/>
    <s v="April"/>
    <x v="2"/>
    <x v="2"/>
    <x v="2"/>
    <s v="Tatcha Serum"/>
    <n v="1"/>
    <n v="88"/>
    <n v="88"/>
    <s v="Premium"/>
  </r>
  <r>
    <s v="TXN-004"/>
    <d v="2026-05-05T00:00:00"/>
    <s v="May"/>
    <x v="3"/>
    <x v="3"/>
    <x v="3"/>
    <s v="TRX System"/>
    <n v="3"/>
    <n v="179"/>
    <n v="537"/>
    <s v="Standard"/>
  </r>
  <r>
    <s v="TXN-005"/>
    <d v="2026-06-06T00:00:00"/>
    <s v="June"/>
    <x v="4"/>
    <x v="0"/>
    <x v="4"/>
    <s v="Sony Headphones"/>
    <n v="1"/>
    <n v="349"/>
    <n v="349"/>
    <s v="Budget"/>
  </r>
  <r>
    <s v="TXN-006"/>
    <d v="2026-01-07T00:00:00"/>
    <s v="January"/>
    <x v="5"/>
    <x v="1"/>
    <x v="0"/>
    <s v="Nike Hoodie"/>
    <n v="2"/>
    <n v="89"/>
    <n v="178"/>
    <s v="Premium"/>
  </r>
  <r>
    <s v="TXN-007"/>
    <d v="2026-02-08T00:00:00"/>
    <s v="February"/>
    <x v="6"/>
    <x v="2"/>
    <x v="1"/>
    <s v="KitchenAid Mixer"/>
    <n v="1"/>
    <n v="399"/>
    <n v="399"/>
    <s v="Standard"/>
  </r>
  <r>
    <s v="TXN-008"/>
    <d v="2026-03-09T00:00:00"/>
    <s v="March"/>
    <x v="7"/>
    <x v="3"/>
    <x v="2"/>
    <s v="MAC Lipstick"/>
    <n v="1"/>
    <n v="24"/>
    <n v="24"/>
    <s v="Budget"/>
  </r>
  <r>
    <s v="TXN-009"/>
    <d v="2026-04-10T00:00:00"/>
    <s v="April"/>
    <x v="8"/>
    <x v="0"/>
    <x v="3"/>
    <s v="Yeti Cooler"/>
    <n v="2"/>
    <n v="249"/>
    <n v="498"/>
    <s v="Premium"/>
  </r>
  <r>
    <s v="TXN-010"/>
    <d v="2026-05-11T00:00:00"/>
    <s v="May"/>
    <x v="9"/>
    <x v="1"/>
    <x v="4"/>
    <s v="Dell Laptop"/>
    <n v="1"/>
    <n v="1099"/>
    <n v="1099"/>
    <s v="Standard"/>
  </r>
  <r>
    <s v="TXN-011"/>
    <d v="2026-06-12T00:00:00"/>
    <s v="June"/>
    <x v="10"/>
    <x v="2"/>
    <x v="0"/>
    <s v="Ralph Lauren Polo"/>
    <n v="1"/>
    <n v="95"/>
    <n v="95"/>
    <s v="Budget"/>
  </r>
  <r>
    <s v="TXN-012"/>
    <d v="2026-01-13T00:00:00"/>
    <s v="January"/>
    <x v="11"/>
    <x v="3"/>
    <x v="1"/>
    <s v="Dyson Vacuum"/>
    <n v="2"/>
    <n v="549"/>
    <n v="1098"/>
    <s v="Premium"/>
  </r>
  <r>
    <s v="TXN-013"/>
    <d v="2026-02-14T00:00:00"/>
    <s v="February"/>
    <x v="0"/>
    <x v="0"/>
    <x v="2"/>
    <s v="Dior Perfume"/>
    <n v="1"/>
    <n v="125"/>
    <n v="125"/>
    <s v="Standard"/>
  </r>
  <r>
    <s v="TXN-014"/>
    <d v="2026-03-15T00:00:00"/>
    <s v="March"/>
    <x v="1"/>
    <x v="1"/>
    <x v="3"/>
    <s v="Garmin Watch"/>
    <n v="3"/>
    <n v="299"/>
    <n v="897"/>
    <s v="Budget"/>
  </r>
  <r>
    <s v="TXN-015"/>
    <d v="2026-04-16T00:00:00"/>
    <s v="April"/>
    <x v="2"/>
    <x v="2"/>
    <x v="4"/>
    <s v="AirPods Pro"/>
    <n v="1"/>
    <n v="249"/>
    <n v="249"/>
    <s v="Premium"/>
  </r>
  <r>
    <s v="TXN-016"/>
    <d v="2026-05-17T00:00:00"/>
    <s v="May"/>
    <x v="3"/>
    <x v="3"/>
    <x v="0"/>
    <s v="Jordan Sneakers"/>
    <n v="2"/>
    <n v="180"/>
    <n v="360"/>
    <s v="Standard"/>
  </r>
  <r>
    <s v="TXN-017"/>
    <d v="2026-06-18T00:00:00"/>
    <s v="June"/>
    <x v="4"/>
    <x v="0"/>
    <x v="1"/>
    <s v="Weber Grill"/>
    <n v="1"/>
    <n v="549"/>
    <n v="549"/>
    <s v="Budget"/>
  </r>
  <r>
    <s v="TXN-018"/>
    <d v="2026-01-19T00:00:00"/>
    <s v="January"/>
    <x v="5"/>
    <x v="1"/>
    <x v="2"/>
    <s v="Fenty Foundation"/>
    <n v="1"/>
    <n v="42"/>
    <n v="42"/>
    <s v="Premium"/>
  </r>
  <r>
    <s v="TXN-019"/>
    <d v="2026-02-20T00:00:00"/>
    <s v="February"/>
    <x v="6"/>
    <x v="2"/>
    <x v="3"/>
    <s v="Bowflex Dumbbells"/>
    <n v="2"/>
    <n v="349"/>
    <n v="698"/>
    <s v="Standard"/>
  </r>
  <r>
    <s v="TXN-020"/>
    <d v="2026-03-21T00:00:00"/>
    <s v="March"/>
    <x v="7"/>
    <x v="3"/>
    <x v="4"/>
    <s v="Samsung TV"/>
    <n v="1"/>
    <n v="1299"/>
    <n v="1299"/>
    <s v="Budget"/>
  </r>
  <r>
    <s v="TXN-021"/>
    <d v="2026-04-22T00:00:00"/>
    <s v="April"/>
    <x v="8"/>
    <x v="0"/>
    <x v="0"/>
    <s v="Zara Dress"/>
    <n v="1"/>
    <n v="65"/>
    <n v="65"/>
    <s v="Premium"/>
  </r>
  <r>
    <s v="TXN-022"/>
    <d v="2026-05-23T00:00:00"/>
    <s v="May"/>
    <x v="9"/>
    <x v="1"/>
    <x v="1"/>
    <s v="Keurig Coffee"/>
    <n v="2"/>
    <n v="179"/>
    <n v="358"/>
    <s v="Standard"/>
  </r>
  <r>
    <s v="TXN-023"/>
    <d v="2026-06-24T00:00:00"/>
    <s v="June"/>
    <x v="10"/>
    <x v="2"/>
    <x v="2"/>
    <s v="Charlotte Tilbury"/>
    <n v="1"/>
    <n v="38"/>
    <n v="38"/>
    <s v="Budget"/>
  </r>
  <r>
    <s v="TXN-024"/>
    <d v="2026-01-25T00:00:00"/>
    <s v="January"/>
    <x v="11"/>
    <x v="3"/>
    <x v="3"/>
    <s v="Peloton Bike"/>
    <n v="3"/>
    <n v="1495"/>
    <n v="4485"/>
    <s v="Premium"/>
  </r>
  <r>
    <s v="TXN-025"/>
    <d v="2026-02-26T00:00:00"/>
    <s v="February"/>
    <x v="0"/>
    <x v="0"/>
    <x v="4"/>
    <s v="MacBook Pro"/>
    <n v="1"/>
    <n v="1999"/>
    <n v="1999"/>
    <s v="Standard"/>
  </r>
  <r>
    <s v="TXN-026"/>
    <d v="2026-03-27T00:00:00"/>
    <s v="March"/>
    <x v="1"/>
    <x v="1"/>
    <x v="0"/>
    <s v="Adidas Tracksuit"/>
    <n v="2"/>
    <n v="110"/>
    <n v="220"/>
    <s v="Budget"/>
  </r>
  <r>
    <s v="TXN-027"/>
    <d v="2026-04-28T00:00:00"/>
    <s v="April"/>
    <x v="2"/>
    <x v="2"/>
    <x v="1"/>
    <s v="Ninja Blender"/>
    <n v="1"/>
    <n v="149"/>
    <n v="149"/>
    <s v="Premium"/>
  </r>
  <r>
    <s v="TXN-028"/>
    <d v="2026-05-01T00:00:00"/>
    <s v="May"/>
    <x v="3"/>
    <x v="3"/>
    <x v="2"/>
    <s v="SK-II Essence"/>
    <n v="1"/>
    <n v="185"/>
    <n v="185"/>
    <s v="Standard"/>
  </r>
  <r>
    <s v="TXN-029"/>
    <d v="2026-06-02T00:00:00"/>
    <s v="June"/>
    <x v="4"/>
    <x v="0"/>
    <x v="3"/>
    <s v="Fitbit Tracker"/>
    <n v="2"/>
    <n v="149"/>
    <n v="298"/>
    <s v="Budget"/>
  </r>
  <r>
    <s v="TXN-030"/>
    <d v="2026-01-03T00:00:00"/>
    <s v="January"/>
    <x v="5"/>
    <x v="1"/>
    <x v="4"/>
    <s v="iPhone 15"/>
    <n v="1"/>
    <n v="999"/>
    <n v="999"/>
    <s v="Premium"/>
  </r>
  <r>
    <s v="TXN-031"/>
    <d v="2026-02-04T00:00:00"/>
    <s v="February"/>
    <x v="6"/>
    <x v="2"/>
    <x v="0"/>
    <s v="Levi Jeans"/>
    <n v="1"/>
    <n v="79"/>
    <n v="79"/>
    <s v="Standard"/>
  </r>
  <r>
    <s v="TXN-032"/>
    <d v="2026-03-05T00:00:00"/>
    <s v="March"/>
    <x v="7"/>
    <x v="3"/>
    <x v="1"/>
    <s v="Instant Pot"/>
    <n v="2"/>
    <n v="129"/>
    <n v="258"/>
    <s v="Budget"/>
  </r>
  <r>
    <s v="TXN-033"/>
    <d v="2026-04-06T00:00:00"/>
    <s v="April"/>
    <x v="8"/>
    <x v="0"/>
    <x v="2"/>
    <s v="Tatcha Serum"/>
    <n v="1"/>
    <n v="88"/>
    <n v="88"/>
    <s v="Premium"/>
  </r>
  <r>
    <s v="TXN-034"/>
    <d v="2026-05-07T00:00:00"/>
    <s v="May"/>
    <x v="9"/>
    <x v="1"/>
    <x v="3"/>
    <s v="TRX System"/>
    <n v="3"/>
    <n v="179"/>
    <n v="537"/>
    <s v="Standard"/>
  </r>
  <r>
    <s v="TXN-035"/>
    <d v="2026-06-08T00:00:00"/>
    <s v="June"/>
    <x v="10"/>
    <x v="2"/>
    <x v="4"/>
    <s v="Sony Headphones"/>
    <n v="1"/>
    <n v="349"/>
    <n v="349"/>
    <s v="Budget"/>
  </r>
  <r>
    <s v="TXN-036"/>
    <d v="2026-01-09T00:00:00"/>
    <s v="January"/>
    <x v="11"/>
    <x v="3"/>
    <x v="0"/>
    <s v="Nike Hoodie"/>
    <n v="2"/>
    <n v="89"/>
    <n v="178"/>
    <s v="Premium"/>
  </r>
  <r>
    <s v="TXN-037"/>
    <d v="2026-02-10T00:00:00"/>
    <s v="February"/>
    <x v="0"/>
    <x v="0"/>
    <x v="1"/>
    <s v="KitchenAid Mixer"/>
    <n v="1"/>
    <n v="399"/>
    <n v="399"/>
    <s v="Standard"/>
  </r>
  <r>
    <s v="TXN-038"/>
    <d v="2026-03-11T00:00:00"/>
    <s v="March"/>
    <x v="1"/>
    <x v="1"/>
    <x v="2"/>
    <s v="MAC Lipstick"/>
    <n v="1"/>
    <n v="24"/>
    <n v="24"/>
    <s v="Budget"/>
  </r>
  <r>
    <s v="TXN-039"/>
    <d v="2026-04-12T00:00:00"/>
    <s v="April"/>
    <x v="2"/>
    <x v="2"/>
    <x v="3"/>
    <s v="Yeti Cooler"/>
    <n v="2"/>
    <n v="249"/>
    <n v="498"/>
    <s v="Premium"/>
  </r>
  <r>
    <s v="TXN-040"/>
    <d v="2026-05-13T00:00:00"/>
    <s v="May"/>
    <x v="3"/>
    <x v="3"/>
    <x v="4"/>
    <s v="Dell Laptop"/>
    <n v="1"/>
    <n v="1099"/>
    <n v="1099"/>
    <s v="Standard"/>
  </r>
  <r>
    <s v="TXN-041"/>
    <d v="2026-06-14T00:00:00"/>
    <s v="June"/>
    <x v="4"/>
    <x v="0"/>
    <x v="0"/>
    <s v="Ralph Lauren Polo"/>
    <n v="1"/>
    <n v="95"/>
    <n v="95"/>
    <s v="Budget"/>
  </r>
  <r>
    <s v="TXN-042"/>
    <d v="2026-01-15T00:00:00"/>
    <s v="January"/>
    <x v="5"/>
    <x v="1"/>
    <x v="1"/>
    <s v="Dyson Vacuum"/>
    <n v="2"/>
    <n v="549"/>
    <n v="1098"/>
    <s v="Premium"/>
  </r>
  <r>
    <s v="TXN-043"/>
    <d v="2026-02-16T00:00:00"/>
    <s v="February"/>
    <x v="6"/>
    <x v="2"/>
    <x v="2"/>
    <s v="Dior Perfume"/>
    <n v="1"/>
    <n v="125"/>
    <n v="125"/>
    <s v="Standard"/>
  </r>
  <r>
    <s v="TXN-044"/>
    <d v="2026-03-17T00:00:00"/>
    <s v="March"/>
    <x v="7"/>
    <x v="3"/>
    <x v="3"/>
    <s v="Garmin Watch"/>
    <n v="3"/>
    <n v="299"/>
    <n v="897"/>
    <s v="Budget"/>
  </r>
  <r>
    <s v="TXN-045"/>
    <d v="2026-04-18T00:00:00"/>
    <s v="April"/>
    <x v="8"/>
    <x v="0"/>
    <x v="4"/>
    <s v="AirPods Pro"/>
    <n v="1"/>
    <n v="249"/>
    <n v="249"/>
    <s v="Premium"/>
  </r>
  <r>
    <s v="TXN-046"/>
    <d v="2026-05-19T00:00:00"/>
    <s v="May"/>
    <x v="9"/>
    <x v="1"/>
    <x v="0"/>
    <s v="Jordan Sneakers"/>
    <n v="2"/>
    <n v="180"/>
    <n v="360"/>
    <s v="Standard"/>
  </r>
  <r>
    <s v="TXN-047"/>
    <d v="2026-06-20T00:00:00"/>
    <s v="June"/>
    <x v="10"/>
    <x v="2"/>
    <x v="1"/>
    <s v="Weber Grill"/>
    <n v="1"/>
    <n v="549"/>
    <n v="549"/>
    <s v="Budget"/>
  </r>
  <r>
    <s v="TXN-048"/>
    <d v="2026-01-21T00:00:00"/>
    <s v="January"/>
    <x v="11"/>
    <x v="3"/>
    <x v="2"/>
    <s v="Fenty Foundation"/>
    <n v="1"/>
    <n v="42"/>
    <n v="42"/>
    <s v="Premium"/>
  </r>
  <r>
    <s v="TXN-049"/>
    <d v="2026-02-22T00:00:00"/>
    <s v="February"/>
    <x v="0"/>
    <x v="0"/>
    <x v="3"/>
    <s v="Bowflex Dumbbells"/>
    <n v="2"/>
    <n v="349"/>
    <n v="698"/>
    <s v="Standard"/>
  </r>
  <r>
    <s v="TXN-050"/>
    <d v="2026-03-23T00:00:00"/>
    <s v="March"/>
    <x v="1"/>
    <x v="1"/>
    <x v="4"/>
    <s v="Samsung TV"/>
    <n v="1"/>
    <n v="1299"/>
    <n v="1299"/>
    <s v="Budget"/>
  </r>
  <r>
    <s v="TXN-051"/>
    <d v="2026-04-24T00:00:00"/>
    <s v="April"/>
    <x v="2"/>
    <x v="2"/>
    <x v="0"/>
    <s v="Zara Dress"/>
    <n v="1"/>
    <n v="65"/>
    <n v="65"/>
    <s v="Premium"/>
  </r>
  <r>
    <s v="TXN-052"/>
    <d v="2026-05-25T00:00:00"/>
    <s v="May"/>
    <x v="3"/>
    <x v="3"/>
    <x v="1"/>
    <s v="Keurig Coffee"/>
    <n v="2"/>
    <n v="179"/>
    <n v="358"/>
    <s v="Standard"/>
  </r>
  <r>
    <s v="TXN-053"/>
    <d v="2026-06-26T00:00:00"/>
    <s v="June"/>
    <x v="4"/>
    <x v="0"/>
    <x v="2"/>
    <s v="Charlotte Tilbury"/>
    <n v="1"/>
    <n v="38"/>
    <n v="38"/>
    <s v="Budget"/>
  </r>
  <r>
    <s v="TXN-054"/>
    <d v="2026-01-27T00:00:00"/>
    <s v="January"/>
    <x v="5"/>
    <x v="1"/>
    <x v="3"/>
    <s v="Peloton Bike"/>
    <n v="3"/>
    <n v="1495"/>
    <n v="4485"/>
    <s v="Premium"/>
  </r>
  <r>
    <s v="TXN-055"/>
    <d v="2026-02-28T00:00:00"/>
    <s v="February"/>
    <x v="6"/>
    <x v="2"/>
    <x v="4"/>
    <s v="MacBook Pro"/>
    <n v="1"/>
    <n v="1999"/>
    <n v="1999"/>
    <s v="Standard"/>
  </r>
  <r>
    <s v="TXN-056"/>
    <d v="2026-03-01T00:00:00"/>
    <s v="March"/>
    <x v="7"/>
    <x v="3"/>
    <x v="0"/>
    <s v="Adidas Tracksuit"/>
    <n v="2"/>
    <n v="110"/>
    <n v="220"/>
    <s v="Budget"/>
  </r>
  <r>
    <s v="TXN-057"/>
    <d v="2026-04-02T00:00:00"/>
    <s v="April"/>
    <x v="8"/>
    <x v="0"/>
    <x v="1"/>
    <s v="Ninja Blender"/>
    <n v="1"/>
    <n v="149"/>
    <n v="149"/>
    <s v="Premium"/>
  </r>
  <r>
    <s v="TXN-058"/>
    <d v="2026-05-03T00:00:00"/>
    <s v="May"/>
    <x v="9"/>
    <x v="1"/>
    <x v="2"/>
    <s v="SK-II Essence"/>
    <n v="1"/>
    <n v="185"/>
    <n v="185"/>
    <s v="Standard"/>
  </r>
  <r>
    <s v="TXN-059"/>
    <d v="2026-06-04T00:00:00"/>
    <s v="June"/>
    <x v="10"/>
    <x v="2"/>
    <x v="3"/>
    <s v="Fitbit Tracker"/>
    <n v="2"/>
    <n v="149"/>
    <n v="298"/>
    <s v="Budget"/>
  </r>
  <r>
    <s v="TXN-060"/>
    <d v="2026-01-05T00:00:00"/>
    <s v="January"/>
    <x v="11"/>
    <x v="3"/>
    <x v="4"/>
    <s v="iPhone 15"/>
    <n v="1"/>
    <n v="999"/>
    <n v="999"/>
    <s v="Premium"/>
  </r>
  <r>
    <s v="TXN-061"/>
    <d v="2026-02-06T00:00:00"/>
    <s v="February"/>
    <x v="0"/>
    <x v="0"/>
    <x v="0"/>
    <s v="Levi Jeans"/>
    <n v="1"/>
    <n v="79"/>
    <n v="79"/>
    <s v="Standard"/>
  </r>
  <r>
    <s v="TXN-062"/>
    <d v="2026-03-07T00:00:00"/>
    <s v="March"/>
    <x v="1"/>
    <x v="1"/>
    <x v="1"/>
    <s v="Instant Pot"/>
    <n v="2"/>
    <n v="129"/>
    <n v="258"/>
    <s v="Budget"/>
  </r>
  <r>
    <s v="TXN-063"/>
    <d v="2026-04-08T00:00:00"/>
    <s v="April"/>
    <x v="2"/>
    <x v="2"/>
    <x v="2"/>
    <s v="Tatcha Serum"/>
    <n v="1"/>
    <n v="88"/>
    <n v="88"/>
    <s v="Premium"/>
  </r>
  <r>
    <s v="TXN-064"/>
    <d v="2026-05-09T00:00:00"/>
    <s v="May"/>
    <x v="3"/>
    <x v="3"/>
    <x v="3"/>
    <s v="TRX System"/>
    <n v="3"/>
    <n v="179"/>
    <n v="537"/>
    <s v="Standard"/>
  </r>
  <r>
    <s v="TXN-065"/>
    <d v="2026-06-10T00:00:00"/>
    <s v="June"/>
    <x v="4"/>
    <x v="0"/>
    <x v="4"/>
    <s v="Sony Headphones"/>
    <n v="1"/>
    <n v="349"/>
    <n v="349"/>
    <s v="Budget"/>
  </r>
  <r>
    <s v="TXN-066"/>
    <d v="2026-01-11T00:00:00"/>
    <s v="January"/>
    <x v="5"/>
    <x v="1"/>
    <x v="0"/>
    <s v="Nike Hoodie"/>
    <n v="2"/>
    <n v="89"/>
    <n v="178"/>
    <s v="Premium"/>
  </r>
  <r>
    <s v="TXN-067"/>
    <d v="2026-02-12T00:00:00"/>
    <s v="February"/>
    <x v="6"/>
    <x v="2"/>
    <x v="1"/>
    <s v="KitchenAid Mixer"/>
    <n v="1"/>
    <n v="399"/>
    <n v="399"/>
    <s v="Standard"/>
  </r>
  <r>
    <s v="TXN-068"/>
    <d v="2026-03-13T00:00:00"/>
    <s v="March"/>
    <x v="7"/>
    <x v="3"/>
    <x v="2"/>
    <s v="MAC Lipstick"/>
    <n v="1"/>
    <n v="24"/>
    <n v="24"/>
    <s v="Budget"/>
  </r>
  <r>
    <s v="TXN-069"/>
    <d v="2026-04-14T00:00:00"/>
    <s v="April"/>
    <x v="8"/>
    <x v="0"/>
    <x v="3"/>
    <s v="Yeti Cooler"/>
    <n v="2"/>
    <n v="249"/>
    <n v="498"/>
    <s v="Premium"/>
  </r>
  <r>
    <s v="TXN-070"/>
    <d v="2026-05-15T00:00:00"/>
    <s v="May"/>
    <x v="9"/>
    <x v="1"/>
    <x v="4"/>
    <s v="Dell Laptop"/>
    <n v="1"/>
    <n v="1099"/>
    <n v="1099"/>
    <s v="Standard"/>
  </r>
  <r>
    <s v="TXN-071"/>
    <d v="2026-06-16T00:00:00"/>
    <s v="June"/>
    <x v="10"/>
    <x v="2"/>
    <x v="0"/>
    <s v="Ralph Lauren Polo"/>
    <n v="1"/>
    <n v="95"/>
    <n v="95"/>
    <s v="Budget"/>
  </r>
  <r>
    <s v="TXN-072"/>
    <d v="2026-01-17T00:00:00"/>
    <s v="January"/>
    <x v="11"/>
    <x v="3"/>
    <x v="1"/>
    <s v="Dyson Vacuum"/>
    <n v="2"/>
    <n v="549"/>
    <n v="1098"/>
    <s v="Premium"/>
  </r>
  <r>
    <s v="TXN-073"/>
    <d v="2026-02-18T00:00:00"/>
    <s v="February"/>
    <x v="0"/>
    <x v="0"/>
    <x v="2"/>
    <s v="Dior Perfume"/>
    <n v="1"/>
    <n v="125"/>
    <n v="125"/>
    <s v="Standard"/>
  </r>
  <r>
    <s v="TXN-074"/>
    <d v="2026-03-19T00:00:00"/>
    <s v="March"/>
    <x v="1"/>
    <x v="1"/>
    <x v="3"/>
    <s v="Garmin Watch"/>
    <n v="3"/>
    <n v="299"/>
    <n v="897"/>
    <s v="Budget"/>
  </r>
  <r>
    <s v="TXN-075"/>
    <d v="2026-04-20T00:00:00"/>
    <s v="April"/>
    <x v="2"/>
    <x v="2"/>
    <x v="4"/>
    <s v="AirPods Pro"/>
    <n v="1"/>
    <n v="249"/>
    <n v="249"/>
    <s v="Premium"/>
  </r>
  <r>
    <s v="TXN-076"/>
    <d v="2026-05-21T00:00:00"/>
    <s v="May"/>
    <x v="3"/>
    <x v="3"/>
    <x v="0"/>
    <s v="Jordan Sneakers"/>
    <n v="2"/>
    <n v="180"/>
    <n v="360"/>
    <s v="Standard"/>
  </r>
  <r>
    <s v="TXN-077"/>
    <d v="2026-06-22T00:00:00"/>
    <s v="June"/>
    <x v="4"/>
    <x v="0"/>
    <x v="1"/>
    <s v="Weber Grill"/>
    <n v="1"/>
    <n v="549"/>
    <n v="549"/>
    <s v="Budget"/>
  </r>
  <r>
    <s v="TXN-078"/>
    <d v="2026-01-23T00:00:00"/>
    <s v="January"/>
    <x v="5"/>
    <x v="1"/>
    <x v="2"/>
    <s v="Fenty Foundation"/>
    <n v="1"/>
    <n v="42"/>
    <n v="42"/>
    <s v="Premium"/>
  </r>
  <r>
    <s v="TXN-079"/>
    <d v="2026-02-24T00:00:00"/>
    <s v="February"/>
    <x v="6"/>
    <x v="2"/>
    <x v="3"/>
    <s v="Bowflex Dumbbells"/>
    <n v="2"/>
    <n v="349"/>
    <n v="698"/>
    <s v="Standard"/>
  </r>
  <r>
    <s v="TXN-080"/>
    <d v="2026-03-25T00:00:00"/>
    <s v="March"/>
    <x v="7"/>
    <x v="3"/>
    <x v="4"/>
    <s v="Samsung TV"/>
    <n v="1"/>
    <n v="1299"/>
    <n v="1299"/>
    <s v="Budget"/>
  </r>
  <r>
    <s v="TXN-081"/>
    <d v="2026-04-26T00:00:00"/>
    <s v="April"/>
    <x v="8"/>
    <x v="0"/>
    <x v="0"/>
    <s v="Zara Dress"/>
    <n v="1"/>
    <n v="65"/>
    <n v="65"/>
    <s v="Premium"/>
  </r>
  <r>
    <s v="TXN-082"/>
    <d v="2026-05-27T00:00:00"/>
    <s v="May"/>
    <x v="9"/>
    <x v="1"/>
    <x v="1"/>
    <s v="Keurig Coffee"/>
    <n v="2"/>
    <n v="179"/>
    <n v="358"/>
    <s v="Standard"/>
  </r>
  <r>
    <s v="TXN-083"/>
    <d v="2026-06-28T00:00:00"/>
    <s v="June"/>
    <x v="10"/>
    <x v="2"/>
    <x v="2"/>
    <s v="Charlotte Tilbury"/>
    <n v="1"/>
    <n v="38"/>
    <n v="38"/>
    <s v="Budget"/>
  </r>
  <r>
    <s v="TXN-084"/>
    <d v="2026-01-01T00:00:00"/>
    <s v="January"/>
    <x v="11"/>
    <x v="3"/>
    <x v="3"/>
    <s v="Peloton Bike"/>
    <n v="3"/>
    <n v="1495"/>
    <n v="4485"/>
    <s v="Premium"/>
  </r>
  <r>
    <s v="TXN-085"/>
    <d v="2026-02-02T00:00:00"/>
    <s v="February"/>
    <x v="0"/>
    <x v="0"/>
    <x v="4"/>
    <s v="MacBook Pro"/>
    <n v="1"/>
    <n v="1999"/>
    <n v="1999"/>
    <s v="Standard"/>
  </r>
  <r>
    <s v="TXN-086"/>
    <d v="2026-03-03T00:00:00"/>
    <s v="March"/>
    <x v="1"/>
    <x v="1"/>
    <x v="0"/>
    <s v="Adidas Tracksuit"/>
    <n v="2"/>
    <n v="110"/>
    <n v="220"/>
    <s v="Budget"/>
  </r>
  <r>
    <s v="TXN-087"/>
    <d v="2026-04-04T00:00:00"/>
    <s v="April"/>
    <x v="2"/>
    <x v="2"/>
    <x v="1"/>
    <s v="Ninja Blender"/>
    <n v="1"/>
    <n v="149"/>
    <n v="149"/>
    <s v="Premium"/>
  </r>
  <r>
    <s v="TXN-088"/>
    <d v="2026-05-05T00:00:00"/>
    <s v="May"/>
    <x v="3"/>
    <x v="3"/>
    <x v="2"/>
    <s v="SK-II Essence"/>
    <n v="1"/>
    <n v="185"/>
    <n v="185"/>
    <s v="Standard"/>
  </r>
  <r>
    <s v="TXN-089"/>
    <d v="2026-06-06T00:00:00"/>
    <s v="June"/>
    <x v="4"/>
    <x v="0"/>
    <x v="3"/>
    <s v="Fitbit Tracker"/>
    <n v="2"/>
    <n v="149"/>
    <n v="298"/>
    <s v="Budget"/>
  </r>
  <r>
    <s v="TXN-090"/>
    <d v="2026-01-07T00:00:00"/>
    <s v="January"/>
    <x v="5"/>
    <x v="1"/>
    <x v="4"/>
    <s v="iPhone 15"/>
    <n v="1"/>
    <n v="999"/>
    <n v="999"/>
    <s v="Premium"/>
  </r>
  <r>
    <s v="TXN-091"/>
    <d v="2026-02-08T00:00:00"/>
    <s v="February"/>
    <x v="6"/>
    <x v="2"/>
    <x v="0"/>
    <s v="Levi Jeans"/>
    <n v="1"/>
    <n v="79"/>
    <n v="79"/>
    <s v="Standard"/>
  </r>
  <r>
    <s v="TXN-092"/>
    <d v="2026-03-09T00:00:00"/>
    <s v="March"/>
    <x v="7"/>
    <x v="3"/>
    <x v="1"/>
    <s v="Instant Pot"/>
    <n v="2"/>
    <n v="129"/>
    <n v="258"/>
    <s v="Budget"/>
  </r>
  <r>
    <s v="TXN-093"/>
    <d v="2026-04-10T00:00:00"/>
    <s v="April"/>
    <x v="8"/>
    <x v="0"/>
    <x v="2"/>
    <s v="Tatcha Serum"/>
    <n v="1"/>
    <n v="88"/>
    <n v="88"/>
    <s v="Premium"/>
  </r>
  <r>
    <s v="TXN-094"/>
    <d v="2026-05-11T00:00:00"/>
    <s v="May"/>
    <x v="9"/>
    <x v="1"/>
    <x v="3"/>
    <s v="TRX System"/>
    <n v="3"/>
    <n v="179"/>
    <n v="537"/>
    <s v="Standard"/>
  </r>
  <r>
    <s v="TXN-095"/>
    <d v="2026-06-12T00:00:00"/>
    <s v="June"/>
    <x v="10"/>
    <x v="2"/>
    <x v="4"/>
    <s v="Sony Headphones"/>
    <n v="1"/>
    <n v="349"/>
    <n v="349"/>
    <s v="Budget"/>
  </r>
  <r>
    <s v="TXN-096"/>
    <d v="2026-01-13T00:00:00"/>
    <s v="January"/>
    <x v="11"/>
    <x v="3"/>
    <x v="0"/>
    <s v="Nike Hoodie"/>
    <n v="2"/>
    <n v="89"/>
    <n v="178"/>
    <s v="Premium"/>
  </r>
  <r>
    <s v="TXN-097"/>
    <d v="2026-02-14T00:00:00"/>
    <s v="February"/>
    <x v="0"/>
    <x v="0"/>
    <x v="1"/>
    <s v="KitchenAid Mixer"/>
    <n v="1"/>
    <n v="399"/>
    <n v="399"/>
    <s v="Standard"/>
  </r>
  <r>
    <s v="TXN-098"/>
    <d v="2026-03-15T00:00:00"/>
    <s v="March"/>
    <x v="1"/>
    <x v="1"/>
    <x v="2"/>
    <s v="MAC Lipstick"/>
    <n v="1"/>
    <n v="24"/>
    <n v="24"/>
    <s v="Budget"/>
  </r>
  <r>
    <s v="TXN-099"/>
    <d v="2026-04-16T00:00:00"/>
    <s v="April"/>
    <x v="2"/>
    <x v="2"/>
    <x v="3"/>
    <s v="Yeti Cooler"/>
    <n v="2"/>
    <n v="249"/>
    <n v="498"/>
    <s v="Premium"/>
  </r>
  <r>
    <s v="TXN-100"/>
    <d v="2026-05-17T00:00:00"/>
    <s v="May"/>
    <x v="3"/>
    <x v="3"/>
    <x v="4"/>
    <s v="Dell Laptop"/>
    <n v="1"/>
    <n v="1099"/>
    <n v="1099"/>
    <s v="Standard"/>
  </r>
  <r>
    <s v="TXN-101"/>
    <d v="2026-06-18T00:00:00"/>
    <s v="June"/>
    <x v="4"/>
    <x v="0"/>
    <x v="0"/>
    <s v="Ralph Lauren Polo"/>
    <n v="1"/>
    <n v="95"/>
    <n v="95"/>
    <s v="Budget"/>
  </r>
  <r>
    <s v="TXN-102"/>
    <d v="2026-01-19T00:00:00"/>
    <s v="January"/>
    <x v="5"/>
    <x v="1"/>
    <x v="1"/>
    <s v="Dyson Vacuum"/>
    <n v="2"/>
    <n v="549"/>
    <n v="1098"/>
    <s v="Premium"/>
  </r>
  <r>
    <s v="TXN-103"/>
    <d v="2026-02-20T00:00:00"/>
    <s v="February"/>
    <x v="6"/>
    <x v="2"/>
    <x v="2"/>
    <s v="Dior Perfume"/>
    <n v="1"/>
    <n v="125"/>
    <n v="125"/>
    <s v="Standard"/>
  </r>
  <r>
    <s v="TXN-104"/>
    <d v="2026-03-21T00:00:00"/>
    <s v="March"/>
    <x v="7"/>
    <x v="3"/>
    <x v="3"/>
    <s v="Garmin Watch"/>
    <n v="3"/>
    <n v="299"/>
    <n v="897"/>
    <s v="Budget"/>
  </r>
  <r>
    <s v="TXN-105"/>
    <d v="2026-04-22T00:00:00"/>
    <s v="April"/>
    <x v="8"/>
    <x v="0"/>
    <x v="4"/>
    <s v="AirPods Pro"/>
    <n v="1"/>
    <n v="249"/>
    <n v="249"/>
    <s v="Premium"/>
  </r>
  <r>
    <s v="TXN-106"/>
    <d v="2026-05-23T00:00:00"/>
    <s v="May"/>
    <x v="9"/>
    <x v="1"/>
    <x v="0"/>
    <s v="Jordan Sneakers"/>
    <n v="2"/>
    <n v="180"/>
    <n v="360"/>
    <s v="Standard"/>
  </r>
  <r>
    <s v="TXN-107"/>
    <d v="2026-06-24T00:00:00"/>
    <s v="June"/>
    <x v="10"/>
    <x v="2"/>
    <x v="1"/>
    <s v="Weber Grill"/>
    <n v="1"/>
    <n v="549"/>
    <n v="549"/>
    <s v="Budget"/>
  </r>
  <r>
    <s v="TXN-108"/>
    <d v="2026-01-25T00:00:00"/>
    <s v="January"/>
    <x v="11"/>
    <x v="3"/>
    <x v="2"/>
    <s v="Fenty Foundation"/>
    <n v="1"/>
    <n v="42"/>
    <n v="42"/>
    <s v="Premium"/>
  </r>
  <r>
    <s v="TXN-109"/>
    <d v="2026-02-26T00:00:00"/>
    <s v="February"/>
    <x v="0"/>
    <x v="0"/>
    <x v="3"/>
    <s v="Bowflex Dumbbells"/>
    <n v="2"/>
    <n v="349"/>
    <n v="698"/>
    <s v="Standard"/>
  </r>
  <r>
    <s v="TXN-110"/>
    <d v="2026-03-27T00:00:00"/>
    <s v="March"/>
    <x v="1"/>
    <x v="1"/>
    <x v="4"/>
    <s v="Samsung TV"/>
    <n v="1"/>
    <n v="1299"/>
    <n v="1299"/>
    <s v="Budget"/>
  </r>
  <r>
    <s v="TXN-111"/>
    <d v="2026-04-28T00:00:00"/>
    <s v="April"/>
    <x v="2"/>
    <x v="2"/>
    <x v="0"/>
    <s v="Zara Dress"/>
    <n v="1"/>
    <n v="65"/>
    <n v="65"/>
    <s v="Premium"/>
  </r>
  <r>
    <s v="TXN-112"/>
    <d v="2026-05-01T00:00:00"/>
    <s v="May"/>
    <x v="3"/>
    <x v="3"/>
    <x v="1"/>
    <s v="Keurig Coffee"/>
    <n v="2"/>
    <n v="179"/>
    <n v="358"/>
    <s v="Standard"/>
  </r>
  <r>
    <s v="TXN-113"/>
    <d v="2026-06-02T00:00:00"/>
    <s v="June"/>
    <x v="4"/>
    <x v="0"/>
    <x v="2"/>
    <s v="Charlotte Tilbury"/>
    <n v="1"/>
    <n v="38"/>
    <n v="38"/>
    <s v="Budget"/>
  </r>
  <r>
    <s v="TXN-114"/>
    <d v="2026-01-03T00:00:00"/>
    <s v="January"/>
    <x v="5"/>
    <x v="1"/>
    <x v="3"/>
    <s v="Peloton Bike"/>
    <n v="3"/>
    <n v="1495"/>
    <n v="4485"/>
    <s v="Premium"/>
  </r>
  <r>
    <s v="TXN-115"/>
    <d v="2026-02-04T00:00:00"/>
    <s v="February"/>
    <x v="6"/>
    <x v="2"/>
    <x v="4"/>
    <s v="MacBook Pro"/>
    <n v="1"/>
    <n v="1999"/>
    <n v="1999"/>
    <s v="Standard"/>
  </r>
  <r>
    <s v="TXN-116"/>
    <d v="2026-03-05T00:00:00"/>
    <s v="March"/>
    <x v="7"/>
    <x v="3"/>
    <x v="0"/>
    <s v="Adidas Tracksuit"/>
    <n v="2"/>
    <n v="110"/>
    <n v="220"/>
    <s v="Budget"/>
  </r>
  <r>
    <s v="TXN-117"/>
    <d v="2026-04-06T00:00:00"/>
    <s v="April"/>
    <x v="8"/>
    <x v="0"/>
    <x v="1"/>
    <s v="Ninja Blender"/>
    <n v="1"/>
    <n v="149"/>
    <n v="149"/>
    <s v="Premium"/>
  </r>
  <r>
    <s v="TXN-118"/>
    <d v="2026-05-07T00:00:00"/>
    <s v="May"/>
    <x v="9"/>
    <x v="1"/>
    <x v="2"/>
    <s v="SK-II Essence"/>
    <n v="1"/>
    <n v="185"/>
    <n v="185"/>
    <s v="Standard"/>
  </r>
  <r>
    <s v="TXN-119"/>
    <d v="2026-06-08T00:00:00"/>
    <s v="June"/>
    <x v="10"/>
    <x v="2"/>
    <x v="3"/>
    <s v="Fitbit Tracker"/>
    <n v="2"/>
    <n v="149"/>
    <n v="298"/>
    <s v="Budget"/>
  </r>
  <r>
    <s v="TXN-120"/>
    <d v="2026-01-09T00:00:00"/>
    <s v="January"/>
    <x v="11"/>
    <x v="3"/>
    <x v="4"/>
    <s v="iPhone 15"/>
    <n v="1"/>
    <n v="999"/>
    <n v="999"/>
    <s v="Premium"/>
  </r>
  <r>
    <s v="TXN-121"/>
    <d v="2026-02-10T00:00:00"/>
    <s v="February"/>
    <x v="0"/>
    <x v="0"/>
    <x v="0"/>
    <s v="Levi Jeans"/>
    <n v="1"/>
    <n v="79"/>
    <n v="79"/>
    <s v="Standard"/>
  </r>
  <r>
    <s v="TXN-122"/>
    <d v="2026-03-11T00:00:00"/>
    <s v="March"/>
    <x v="1"/>
    <x v="1"/>
    <x v="1"/>
    <s v="Instant Pot"/>
    <n v="2"/>
    <n v="129"/>
    <n v="258"/>
    <s v="Budget"/>
  </r>
  <r>
    <s v="TXN-123"/>
    <d v="2026-04-12T00:00:00"/>
    <s v="April"/>
    <x v="2"/>
    <x v="2"/>
    <x v="2"/>
    <s v="Tatcha Serum"/>
    <n v="1"/>
    <n v="88"/>
    <n v="88"/>
    <s v="Premium"/>
  </r>
  <r>
    <s v="TXN-124"/>
    <d v="2026-05-13T00:00:00"/>
    <s v="May"/>
    <x v="3"/>
    <x v="3"/>
    <x v="3"/>
    <s v="TRX System"/>
    <n v="3"/>
    <n v="179"/>
    <n v="537"/>
    <s v="Standard"/>
  </r>
  <r>
    <s v="TXN-125"/>
    <d v="2026-06-14T00:00:00"/>
    <s v="June"/>
    <x v="4"/>
    <x v="0"/>
    <x v="4"/>
    <s v="Sony Headphones"/>
    <n v="1"/>
    <n v="349"/>
    <n v="349"/>
    <s v="Budget"/>
  </r>
  <r>
    <s v="TXN-126"/>
    <d v="2026-01-15T00:00:00"/>
    <s v="January"/>
    <x v="5"/>
    <x v="1"/>
    <x v="0"/>
    <s v="Nike Hoodie"/>
    <n v="2"/>
    <n v="89"/>
    <n v="178"/>
    <s v="Premium"/>
  </r>
  <r>
    <s v="TXN-127"/>
    <d v="2026-02-16T00:00:00"/>
    <s v="February"/>
    <x v="6"/>
    <x v="2"/>
    <x v="1"/>
    <s v="KitchenAid Mixer"/>
    <n v="1"/>
    <n v="399"/>
    <n v="399"/>
    <s v="Standard"/>
  </r>
  <r>
    <s v="TXN-128"/>
    <d v="2026-03-17T00:00:00"/>
    <s v="March"/>
    <x v="7"/>
    <x v="3"/>
    <x v="2"/>
    <s v="MAC Lipstick"/>
    <n v="1"/>
    <n v="24"/>
    <n v="24"/>
    <s v="Budget"/>
  </r>
  <r>
    <s v="TXN-129"/>
    <d v="2026-04-18T00:00:00"/>
    <s v="April"/>
    <x v="8"/>
    <x v="0"/>
    <x v="3"/>
    <s v="Yeti Cooler"/>
    <n v="2"/>
    <n v="249"/>
    <n v="498"/>
    <s v="Premium"/>
  </r>
  <r>
    <s v="TXN-130"/>
    <d v="2026-05-19T00:00:00"/>
    <s v="May"/>
    <x v="9"/>
    <x v="1"/>
    <x v="4"/>
    <s v="Dell Laptop"/>
    <n v="1"/>
    <n v="1099"/>
    <n v="1099"/>
    <s v="Standard"/>
  </r>
  <r>
    <s v="TXN-131"/>
    <d v="2026-06-20T00:00:00"/>
    <s v="June"/>
    <x v="10"/>
    <x v="2"/>
    <x v="0"/>
    <s v="Ralph Lauren Polo"/>
    <n v="1"/>
    <n v="95"/>
    <n v="95"/>
    <s v="Budget"/>
  </r>
  <r>
    <s v="TXN-132"/>
    <d v="2026-01-21T00:00:00"/>
    <s v="January"/>
    <x v="11"/>
    <x v="3"/>
    <x v="1"/>
    <s v="Dyson Vacuum"/>
    <n v="2"/>
    <n v="549"/>
    <n v="1098"/>
    <s v="Premium"/>
  </r>
  <r>
    <s v="TXN-133"/>
    <d v="2026-02-22T00:00:00"/>
    <s v="February"/>
    <x v="0"/>
    <x v="0"/>
    <x v="2"/>
    <s v="Dior Perfume"/>
    <n v="1"/>
    <n v="125"/>
    <n v="125"/>
    <s v="Standard"/>
  </r>
  <r>
    <s v="TXN-134"/>
    <d v="2026-03-23T00:00:00"/>
    <s v="March"/>
    <x v="1"/>
    <x v="1"/>
    <x v="3"/>
    <s v="Garmin Watch"/>
    <n v="3"/>
    <n v="299"/>
    <n v="897"/>
    <s v="Budget"/>
  </r>
  <r>
    <s v="TXN-135"/>
    <d v="2026-04-24T00:00:00"/>
    <s v="April"/>
    <x v="2"/>
    <x v="2"/>
    <x v="4"/>
    <s v="AirPods Pro"/>
    <n v="1"/>
    <n v="249"/>
    <n v="249"/>
    <s v="Premium"/>
  </r>
  <r>
    <s v="TXN-136"/>
    <d v="2026-05-25T00:00:00"/>
    <s v="May"/>
    <x v="3"/>
    <x v="3"/>
    <x v="0"/>
    <s v="Jordan Sneakers"/>
    <n v="2"/>
    <n v="180"/>
    <n v="360"/>
    <s v="Standard"/>
  </r>
  <r>
    <s v="TXN-137"/>
    <d v="2026-06-26T00:00:00"/>
    <s v="June"/>
    <x v="4"/>
    <x v="0"/>
    <x v="1"/>
    <s v="Weber Grill"/>
    <n v="1"/>
    <n v="549"/>
    <n v="549"/>
    <s v="Budget"/>
  </r>
  <r>
    <s v="TXN-138"/>
    <d v="2026-01-27T00:00:00"/>
    <s v="January"/>
    <x v="5"/>
    <x v="1"/>
    <x v="2"/>
    <s v="Fenty Foundation"/>
    <n v="1"/>
    <n v="42"/>
    <n v="42"/>
    <s v="Premium"/>
  </r>
  <r>
    <s v="TXN-139"/>
    <d v="2026-02-28T00:00:00"/>
    <s v="February"/>
    <x v="6"/>
    <x v="2"/>
    <x v="3"/>
    <s v="Bowflex Dumbbells"/>
    <n v="2"/>
    <n v="349"/>
    <n v="698"/>
    <s v="Standard"/>
  </r>
  <r>
    <s v="TXN-140"/>
    <d v="2026-03-01T00:00:00"/>
    <s v="March"/>
    <x v="7"/>
    <x v="3"/>
    <x v="4"/>
    <s v="Samsung TV"/>
    <n v="1"/>
    <n v="1299"/>
    <n v="1299"/>
    <s v="Budget"/>
  </r>
  <r>
    <s v="TXN-141"/>
    <d v="2026-04-02T00:00:00"/>
    <s v="April"/>
    <x v="8"/>
    <x v="0"/>
    <x v="0"/>
    <s v="Zara Dress"/>
    <n v="1"/>
    <n v="65"/>
    <n v="65"/>
    <s v="Premium"/>
  </r>
  <r>
    <s v="TXN-142"/>
    <d v="2026-05-03T00:00:00"/>
    <s v="May"/>
    <x v="9"/>
    <x v="1"/>
    <x v="1"/>
    <s v="Keurig Coffee"/>
    <n v="2"/>
    <n v="179"/>
    <n v="358"/>
    <s v="Standard"/>
  </r>
  <r>
    <s v="TXN-143"/>
    <d v="2026-06-04T00:00:00"/>
    <s v="June"/>
    <x v="10"/>
    <x v="2"/>
    <x v="2"/>
    <s v="Charlotte Tilbury"/>
    <n v="1"/>
    <n v="38"/>
    <n v="38"/>
    <s v="Budget"/>
  </r>
  <r>
    <s v="TXN-144"/>
    <d v="2026-01-05T00:00:00"/>
    <s v="January"/>
    <x v="11"/>
    <x v="3"/>
    <x v="3"/>
    <s v="Peloton Bike"/>
    <n v="3"/>
    <n v="1495"/>
    <n v="4485"/>
    <s v="Premium"/>
  </r>
  <r>
    <s v="TXN-145"/>
    <d v="2026-02-06T00:00:00"/>
    <s v="February"/>
    <x v="0"/>
    <x v="0"/>
    <x v="4"/>
    <s v="MacBook Pro"/>
    <n v="1"/>
    <n v="1999"/>
    <n v="1999"/>
    <s v="Standard"/>
  </r>
  <r>
    <s v="TXN-146"/>
    <d v="2026-03-07T00:00:00"/>
    <s v="March"/>
    <x v="1"/>
    <x v="1"/>
    <x v="0"/>
    <s v="Adidas Tracksuit"/>
    <n v="2"/>
    <n v="110"/>
    <n v="220"/>
    <s v="Budget"/>
  </r>
  <r>
    <s v="TXN-147"/>
    <d v="2026-04-08T00:00:00"/>
    <s v="April"/>
    <x v="2"/>
    <x v="2"/>
    <x v="1"/>
    <s v="Ninja Blender"/>
    <n v="1"/>
    <n v="149"/>
    <n v="149"/>
    <s v="Premium"/>
  </r>
  <r>
    <s v="TXN-148"/>
    <d v="2026-05-09T00:00:00"/>
    <s v="May"/>
    <x v="3"/>
    <x v="3"/>
    <x v="2"/>
    <s v="SK-II Essence"/>
    <n v="1"/>
    <n v="185"/>
    <n v="185"/>
    <s v="Standard"/>
  </r>
  <r>
    <s v="TXN-149"/>
    <d v="2026-06-10T00:00:00"/>
    <s v="June"/>
    <x v="4"/>
    <x v="0"/>
    <x v="3"/>
    <s v="Fitbit Tracker"/>
    <n v="2"/>
    <n v="149"/>
    <n v="298"/>
    <s v="Budget"/>
  </r>
  <r>
    <s v="TXN-150"/>
    <d v="2026-01-11T00:00:00"/>
    <s v="January"/>
    <x v="5"/>
    <x v="1"/>
    <x v="4"/>
    <s v="iPhone 15"/>
    <n v="1"/>
    <n v="999"/>
    <n v="999"/>
    <s v="Premium"/>
  </r>
  <r>
    <s v="TXN-151"/>
    <d v="2026-02-12T00:00:00"/>
    <s v="February"/>
    <x v="6"/>
    <x v="2"/>
    <x v="0"/>
    <s v="Levi Jeans"/>
    <n v="1"/>
    <n v="79"/>
    <n v="79"/>
    <s v="Standard"/>
  </r>
  <r>
    <s v="TXN-152"/>
    <d v="2026-03-13T00:00:00"/>
    <s v="March"/>
    <x v="7"/>
    <x v="3"/>
    <x v="1"/>
    <s v="Instant Pot"/>
    <n v="2"/>
    <n v="129"/>
    <n v="258"/>
    <s v="Budget"/>
  </r>
  <r>
    <s v="TXN-153"/>
    <d v="2026-04-14T00:00:00"/>
    <s v="April"/>
    <x v="8"/>
    <x v="0"/>
    <x v="2"/>
    <s v="Tatcha Serum"/>
    <n v="1"/>
    <n v="88"/>
    <n v="88"/>
    <s v="Premium"/>
  </r>
  <r>
    <s v="TXN-154"/>
    <d v="2026-05-15T00:00:00"/>
    <s v="May"/>
    <x v="9"/>
    <x v="1"/>
    <x v="3"/>
    <s v="TRX System"/>
    <n v="3"/>
    <n v="179"/>
    <n v="537"/>
    <s v="Standard"/>
  </r>
  <r>
    <s v="TXN-155"/>
    <d v="2026-06-16T00:00:00"/>
    <s v="June"/>
    <x v="10"/>
    <x v="2"/>
    <x v="4"/>
    <s v="Sony Headphones"/>
    <n v="1"/>
    <n v="349"/>
    <n v="349"/>
    <s v="Budget"/>
  </r>
  <r>
    <s v="TXN-156"/>
    <d v="2026-01-17T00:00:00"/>
    <s v="January"/>
    <x v="11"/>
    <x v="3"/>
    <x v="0"/>
    <s v="Nike Hoodie"/>
    <n v="2"/>
    <n v="89"/>
    <n v="178"/>
    <s v="Premium"/>
  </r>
  <r>
    <s v="TXN-157"/>
    <d v="2026-02-18T00:00:00"/>
    <s v="February"/>
    <x v="0"/>
    <x v="0"/>
    <x v="1"/>
    <s v="KitchenAid Mixer"/>
    <n v="1"/>
    <n v="399"/>
    <n v="399"/>
    <s v="Standard"/>
  </r>
  <r>
    <s v="TXN-158"/>
    <d v="2026-03-19T00:00:00"/>
    <s v="March"/>
    <x v="1"/>
    <x v="1"/>
    <x v="2"/>
    <s v="MAC Lipstick"/>
    <n v="1"/>
    <n v="24"/>
    <n v="24"/>
    <s v="Budget"/>
  </r>
  <r>
    <s v="TXN-159"/>
    <d v="2026-04-20T00:00:00"/>
    <s v="April"/>
    <x v="2"/>
    <x v="2"/>
    <x v="3"/>
    <s v="Yeti Cooler"/>
    <n v="2"/>
    <n v="249"/>
    <n v="498"/>
    <s v="Premium"/>
  </r>
  <r>
    <s v="TXN-160"/>
    <d v="2026-05-21T00:00:00"/>
    <s v="May"/>
    <x v="3"/>
    <x v="3"/>
    <x v="4"/>
    <s v="Dell Laptop"/>
    <n v="1"/>
    <n v="1099"/>
    <n v="1099"/>
    <s v="Standard"/>
  </r>
  <r>
    <s v="TXN-161"/>
    <d v="2026-06-22T00:00:00"/>
    <s v="June"/>
    <x v="4"/>
    <x v="0"/>
    <x v="0"/>
    <s v="Ralph Lauren Polo"/>
    <n v="1"/>
    <n v="95"/>
    <n v="95"/>
    <s v="Budget"/>
  </r>
  <r>
    <s v="TXN-162"/>
    <d v="2026-01-23T00:00:00"/>
    <s v="January"/>
    <x v="5"/>
    <x v="1"/>
    <x v="1"/>
    <s v="Dyson Vacuum"/>
    <n v="2"/>
    <n v="549"/>
    <n v="1098"/>
    <s v="Premium"/>
  </r>
  <r>
    <s v="TXN-163"/>
    <d v="2026-02-24T00:00:00"/>
    <s v="February"/>
    <x v="6"/>
    <x v="2"/>
    <x v="2"/>
    <s v="Dior Perfume"/>
    <n v="1"/>
    <n v="125"/>
    <n v="125"/>
    <s v="Standard"/>
  </r>
  <r>
    <s v="TXN-164"/>
    <d v="2026-03-25T00:00:00"/>
    <s v="March"/>
    <x v="7"/>
    <x v="3"/>
    <x v="3"/>
    <s v="Garmin Watch"/>
    <n v="3"/>
    <n v="299"/>
    <n v="897"/>
    <s v="Budget"/>
  </r>
  <r>
    <s v="TXN-165"/>
    <d v="2026-04-26T00:00:00"/>
    <s v="April"/>
    <x v="8"/>
    <x v="0"/>
    <x v="4"/>
    <s v="AirPods Pro"/>
    <n v="1"/>
    <n v="249"/>
    <n v="249"/>
    <s v="Premium"/>
  </r>
  <r>
    <s v="TXN-166"/>
    <d v="2026-05-27T00:00:00"/>
    <s v="May"/>
    <x v="9"/>
    <x v="1"/>
    <x v="0"/>
    <s v="Jordan Sneakers"/>
    <n v="2"/>
    <n v="180"/>
    <n v="360"/>
    <s v="Standard"/>
  </r>
  <r>
    <s v="TXN-167"/>
    <d v="2026-06-28T00:00:00"/>
    <s v="June"/>
    <x v="10"/>
    <x v="2"/>
    <x v="1"/>
    <s v="Weber Grill"/>
    <n v="1"/>
    <n v="549"/>
    <n v="549"/>
    <s v="Budget"/>
  </r>
  <r>
    <s v="TXN-168"/>
    <d v="2026-01-01T00:00:00"/>
    <s v="January"/>
    <x v="11"/>
    <x v="3"/>
    <x v="2"/>
    <s v="Fenty Foundation"/>
    <n v="1"/>
    <n v="42"/>
    <n v="42"/>
    <s v="Premium"/>
  </r>
  <r>
    <s v="TXN-169"/>
    <d v="2026-02-02T00:00:00"/>
    <s v="February"/>
    <x v="0"/>
    <x v="0"/>
    <x v="3"/>
    <s v="Bowflex Dumbbells"/>
    <n v="2"/>
    <n v="349"/>
    <n v="698"/>
    <s v="Standard"/>
  </r>
  <r>
    <s v="TXN-170"/>
    <d v="2026-03-03T00:00:00"/>
    <s v="March"/>
    <x v="1"/>
    <x v="1"/>
    <x v="4"/>
    <s v="Samsung TV"/>
    <n v="1"/>
    <n v="1299"/>
    <n v="1299"/>
    <s v="Budget"/>
  </r>
  <r>
    <s v="TXN-171"/>
    <d v="2026-04-04T00:00:00"/>
    <s v="April"/>
    <x v="2"/>
    <x v="2"/>
    <x v="0"/>
    <s v="Zara Dress"/>
    <n v="1"/>
    <n v="65"/>
    <n v="65"/>
    <s v="Premium"/>
  </r>
  <r>
    <s v="TXN-172"/>
    <d v="2026-05-05T00:00:00"/>
    <s v="May"/>
    <x v="3"/>
    <x v="3"/>
    <x v="1"/>
    <s v="Keurig Coffee"/>
    <n v="2"/>
    <n v="179"/>
    <n v="358"/>
    <s v="Standard"/>
  </r>
  <r>
    <s v="TXN-173"/>
    <d v="2026-06-06T00:00:00"/>
    <s v="June"/>
    <x v="4"/>
    <x v="0"/>
    <x v="2"/>
    <s v="Charlotte Tilbury"/>
    <n v="1"/>
    <n v="38"/>
    <n v="38"/>
    <s v="Budget"/>
  </r>
  <r>
    <s v="TXN-174"/>
    <d v="2026-01-07T00:00:00"/>
    <s v="January"/>
    <x v="5"/>
    <x v="1"/>
    <x v="3"/>
    <s v="Peloton Bike"/>
    <n v="3"/>
    <n v="1495"/>
    <n v="4485"/>
    <s v="Premium"/>
  </r>
  <r>
    <s v="TXN-175"/>
    <d v="2026-02-08T00:00:00"/>
    <s v="February"/>
    <x v="6"/>
    <x v="2"/>
    <x v="4"/>
    <s v="MacBook Pro"/>
    <n v="1"/>
    <n v="1999"/>
    <n v="1999"/>
    <s v="Standard"/>
  </r>
  <r>
    <s v="TXN-176"/>
    <d v="2026-03-09T00:00:00"/>
    <s v="March"/>
    <x v="7"/>
    <x v="3"/>
    <x v="0"/>
    <s v="Adidas Tracksuit"/>
    <n v="2"/>
    <n v="110"/>
    <n v="220"/>
    <s v="Budget"/>
  </r>
  <r>
    <s v="TXN-177"/>
    <d v="2026-04-10T00:00:00"/>
    <s v="April"/>
    <x v="8"/>
    <x v="0"/>
    <x v="1"/>
    <s v="Ninja Blender"/>
    <n v="1"/>
    <n v="149"/>
    <n v="149"/>
    <s v="Premium"/>
  </r>
  <r>
    <s v="TXN-178"/>
    <d v="2026-05-11T00:00:00"/>
    <s v="May"/>
    <x v="9"/>
    <x v="1"/>
    <x v="2"/>
    <s v="SK-II Essence"/>
    <n v="1"/>
    <n v="185"/>
    <n v="185"/>
    <s v="Standard"/>
  </r>
  <r>
    <s v="TXN-179"/>
    <d v="2026-06-12T00:00:00"/>
    <s v="June"/>
    <x v="10"/>
    <x v="2"/>
    <x v="3"/>
    <s v="Fitbit Tracker"/>
    <n v="2"/>
    <n v="149"/>
    <n v="298"/>
    <s v="Budget"/>
  </r>
  <r>
    <s v="TXN-180"/>
    <d v="2026-01-13T00:00:00"/>
    <s v="January"/>
    <x v="11"/>
    <x v="3"/>
    <x v="4"/>
    <s v="iPhone 15"/>
    <n v="1"/>
    <n v="999"/>
    <n v="999"/>
    <s v="Premium"/>
  </r>
  <r>
    <s v="TXN-181"/>
    <d v="2026-02-14T00:00:00"/>
    <s v="February"/>
    <x v="0"/>
    <x v="0"/>
    <x v="0"/>
    <s v="Levi Jeans"/>
    <n v="1"/>
    <n v="79"/>
    <n v="79"/>
    <s v="Standard"/>
  </r>
  <r>
    <s v="TXN-182"/>
    <d v="2026-03-15T00:00:00"/>
    <s v="March"/>
    <x v="1"/>
    <x v="1"/>
    <x v="1"/>
    <s v="Instant Pot"/>
    <n v="2"/>
    <n v="129"/>
    <n v="258"/>
    <s v="Budget"/>
  </r>
  <r>
    <s v="TXN-183"/>
    <d v="2026-04-16T00:00:00"/>
    <s v="April"/>
    <x v="2"/>
    <x v="2"/>
    <x v="2"/>
    <s v="Tatcha Serum"/>
    <n v="1"/>
    <n v="88"/>
    <n v="88"/>
    <s v="Premium"/>
  </r>
  <r>
    <s v="TXN-184"/>
    <d v="2026-05-17T00:00:00"/>
    <s v="May"/>
    <x v="3"/>
    <x v="3"/>
    <x v="3"/>
    <s v="TRX System"/>
    <n v="3"/>
    <n v="179"/>
    <n v="537"/>
    <s v="Standard"/>
  </r>
  <r>
    <s v="TXN-185"/>
    <d v="2026-06-18T00:00:00"/>
    <s v="June"/>
    <x v="4"/>
    <x v="0"/>
    <x v="4"/>
    <s v="Sony Headphones"/>
    <n v="1"/>
    <n v="349"/>
    <n v="349"/>
    <s v="Budget"/>
  </r>
  <r>
    <s v="TXN-186"/>
    <d v="2026-01-19T00:00:00"/>
    <s v="January"/>
    <x v="5"/>
    <x v="1"/>
    <x v="0"/>
    <s v="Nike Hoodie"/>
    <n v="2"/>
    <n v="89"/>
    <n v="178"/>
    <s v="Premium"/>
  </r>
  <r>
    <s v="TXN-187"/>
    <d v="2026-02-20T00:00:00"/>
    <s v="February"/>
    <x v="6"/>
    <x v="2"/>
    <x v="1"/>
    <s v="KitchenAid Mixer"/>
    <n v="1"/>
    <n v="399"/>
    <n v="399"/>
    <s v="Standard"/>
  </r>
  <r>
    <s v="TXN-188"/>
    <d v="2026-03-21T00:00:00"/>
    <s v="March"/>
    <x v="7"/>
    <x v="3"/>
    <x v="2"/>
    <s v="MAC Lipstick"/>
    <n v="1"/>
    <n v="24"/>
    <n v="24"/>
    <s v="Budget"/>
  </r>
  <r>
    <s v="TXN-189"/>
    <d v="2026-04-22T00:00:00"/>
    <s v="April"/>
    <x v="8"/>
    <x v="0"/>
    <x v="3"/>
    <s v="Yeti Cooler"/>
    <n v="2"/>
    <n v="249"/>
    <n v="498"/>
    <s v="Premium"/>
  </r>
  <r>
    <s v="TXN-190"/>
    <d v="2026-05-23T00:00:00"/>
    <s v="May"/>
    <x v="9"/>
    <x v="1"/>
    <x v="4"/>
    <s v="Dell Laptop"/>
    <n v="1"/>
    <n v="1099"/>
    <n v="1099"/>
    <s v="Standard"/>
  </r>
  <r>
    <s v="TXN-191"/>
    <d v="2026-06-24T00:00:00"/>
    <s v="June"/>
    <x v="10"/>
    <x v="2"/>
    <x v="0"/>
    <s v="Ralph Lauren Polo"/>
    <n v="1"/>
    <n v="95"/>
    <n v="95"/>
    <s v="Budget"/>
  </r>
  <r>
    <s v="TXN-192"/>
    <d v="2026-01-25T00:00:00"/>
    <s v="January"/>
    <x v="11"/>
    <x v="3"/>
    <x v="1"/>
    <s v="Dyson Vacuum"/>
    <n v="2"/>
    <n v="549"/>
    <n v="1098"/>
    <s v="Premium"/>
  </r>
  <r>
    <s v="TXN-193"/>
    <d v="2026-02-26T00:00:00"/>
    <s v="February"/>
    <x v="0"/>
    <x v="0"/>
    <x v="2"/>
    <s v="Dior Perfume"/>
    <n v="1"/>
    <n v="125"/>
    <n v="125"/>
    <s v="Standard"/>
  </r>
  <r>
    <s v="TXN-194"/>
    <d v="2026-03-27T00:00:00"/>
    <s v="March"/>
    <x v="1"/>
    <x v="1"/>
    <x v="3"/>
    <s v="Garmin Watch"/>
    <n v="3"/>
    <n v="299"/>
    <n v="897"/>
    <s v="Budget"/>
  </r>
  <r>
    <s v="TXN-195"/>
    <d v="2026-04-28T00:00:00"/>
    <s v="April"/>
    <x v="2"/>
    <x v="2"/>
    <x v="4"/>
    <s v="AirPods Pro"/>
    <n v="1"/>
    <n v="249"/>
    <n v="249"/>
    <s v="Premium"/>
  </r>
  <r>
    <s v="TXN-196"/>
    <d v="2026-05-01T00:00:00"/>
    <s v="May"/>
    <x v="3"/>
    <x v="3"/>
    <x v="0"/>
    <s v="Jordan Sneakers"/>
    <n v="2"/>
    <n v="180"/>
    <n v="360"/>
    <s v="Standard"/>
  </r>
  <r>
    <s v="TXN-197"/>
    <d v="2026-06-02T00:00:00"/>
    <s v="June"/>
    <x v="4"/>
    <x v="0"/>
    <x v="1"/>
    <s v="Weber Grill"/>
    <n v="1"/>
    <n v="549"/>
    <n v="549"/>
    <s v="Budget"/>
  </r>
  <r>
    <s v="TXN-198"/>
    <d v="2026-01-03T00:00:00"/>
    <s v="January"/>
    <x v="5"/>
    <x v="1"/>
    <x v="2"/>
    <s v="Fenty Foundation"/>
    <n v="1"/>
    <n v="42"/>
    <n v="42"/>
    <s v="Premium"/>
  </r>
  <r>
    <s v="TXN-199"/>
    <d v="2026-02-04T00:00:00"/>
    <s v="February"/>
    <x v="6"/>
    <x v="2"/>
    <x v="3"/>
    <s v="Bowflex Dumbbells"/>
    <n v="2"/>
    <n v="349"/>
    <n v="698"/>
    <s v="Standar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2694D4-F314-41E3-AF6D-C55FBBE359E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7">
  <location ref="A3:B9" firstHeaderRow="1" firstDataRow="1" firstDataCol="1"/>
  <pivotFields count="11">
    <pivotField showAll="0"/>
    <pivotField showAll="0"/>
    <pivotField showAll="0">
      <items count="7">
        <item x="5"/>
        <item x="0"/>
        <item x="1"/>
        <item x="2"/>
        <item x="3"/>
        <item x="4"/>
        <item t="default"/>
      </items>
    </pivotField>
    <pivotField showAll="0"/>
    <pivotField showAll="0" sortType="ascending">
      <items count="5">
        <item x="2"/>
        <item x="0"/>
        <item x="3"/>
        <item x="1"/>
        <item t="default"/>
      </items>
      <autoSortScope>
        <pivotArea dataOnly="0" outline="0" fieldPosition="0">
          <references count="1">
            <reference field="4294967294" count="1" selected="0">
              <x v="0"/>
            </reference>
          </references>
        </pivotArea>
      </autoSortScope>
    </pivotField>
    <pivotField axis="axisRow" showAll="0" sortType="descending">
      <items count="6">
        <item x="2"/>
        <item x="0"/>
        <item x="4"/>
        <item x="1"/>
        <item x="3"/>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dataField="1" showAll="0">
      <items count="31">
        <item x="7"/>
        <item x="22"/>
        <item x="17"/>
        <item x="20"/>
        <item x="0"/>
        <item x="2"/>
        <item x="10"/>
        <item x="12"/>
        <item x="26"/>
        <item x="5"/>
        <item x="27"/>
        <item x="25"/>
        <item x="14"/>
        <item x="1"/>
        <item x="28"/>
        <item x="4"/>
        <item x="21"/>
        <item x="15"/>
        <item x="6"/>
        <item x="8"/>
        <item x="3"/>
        <item x="16"/>
        <item x="18"/>
        <item x="13"/>
        <item x="29"/>
        <item x="11"/>
        <item x="9"/>
        <item x="19"/>
        <item x="24"/>
        <item x="23"/>
        <item t="default"/>
      </items>
    </pivotField>
    <pivotField showAll="0"/>
  </pivotFields>
  <rowFields count="1">
    <field x="5"/>
  </rowFields>
  <rowItems count="6">
    <i>
      <x v="4"/>
    </i>
    <i>
      <x v="2"/>
    </i>
    <i>
      <x v="3"/>
    </i>
    <i>
      <x v="1"/>
    </i>
    <i>
      <x/>
    </i>
    <i t="grand">
      <x/>
    </i>
  </rowItems>
  <colItems count="1">
    <i/>
  </colItems>
  <dataFields count="1">
    <dataField name="Sum of Revenue ($)" fld="9" baseField="0" baseItem="0"/>
  </dataFields>
  <chartFormats count="48">
    <chartFormat chart="36" format="0" series="1">
      <pivotArea type="data" outline="0" fieldPosition="0">
        <references count="1">
          <reference field="4294967294" count="1" selected="0">
            <x v="0"/>
          </reference>
        </references>
      </pivotArea>
    </chartFormat>
    <chartFormat chart="36" format="1">
      <pivotArea type="data" outline="0" fieldPosition="0">
        <references count="2">
          <reference field="4294967294" count="1" selected="0">
            <x v="0"/>
          </reference>
          <reference field="5" count="1" selected="0">
            <x v="4"/>
          </reference>
        </references>
      </pivotArea>
    </chartFormat>
    <chartFormat chart="36" format="2">
      <pivotArea type="data" outline="0" fieldPosition="0">
        <references count="2">
          <reference field="4294967294" count="1" selected="0">
            <x v="0"/>
          </reference>
          <reference field="5" count="1" selected="0">
            <x v="1"/>
          </reference>
        </references>
      </pivotArea>
    </chartFormat>
    <chartFormat chart="36" format="3">
      <pivotArea type="data" outline="0" fieldPosition="0">
        <references count="2">
          <reference field="4294967294" count="1" selected="0">
            <x v="0"/>
          </reference>
          <reference field="5" count="1" selected="0">
            <x v="0"/>
          </reference>
        </references>
      </pivotArea>
    </chartFormat>
    <chartFormat chart="36" format="4">
      <pivotArea type="data" outline="0" fieldPosition="0">
        <references count="2">
          <reference field="4294967294" count="1" selected="0">
            <x v="0"/>
          </reference>
          <reference field="5" count="1" selected="0">
            <x v="3"/>
          </reference>
        </references>
      </pivotArea>
    </chartFormat>
    <chartFormat chart="36" format="5">
      <pivotArea type="data" outline="0" fieldPosition="0">
        <references count="2">
          <reference field="4294967294" count="1" selected="0">
            <x v="0"/>
          </reference>
          <reference field="5" count="1" selected="0">
            <x v="2"/>
          </reference>
        </references>
      </pivotArea>
    </chartFormat>
    <chartFormat chart="41" format="12" series="1">
      <pivotArea type="data" outline="0" fieldPosition="0">
        <references count="1">
          <reference field="4294967294" count="1" selected="0">
            <x v="0"/>
          </reference>
        </references>
      </pivotArea>
    </chartFormat>
    <chartFormat chart="41" format="13">
      <pivotArea type="data" outline="0" fieldPosition="0">
        <references count="2">
          <reference field="4294967294" count="1" selected="0">
            <x v="0"/>
          </reference>
          <reference field="5" count="1" selected="0">
            <x v="4"/>
          </reference>
        </references>
      </pivotArea>
    </chartFormat>
    <chartFormat chart="41" format="14">
      <pivotArea type="data" outline="0" fieldPosition="0">
        <references count="2">
          <reference field="4294967294" count="1" selected="0">
            <x v="0"/>
          </reference>
          <reference field="5" count="1" selected="0">
            <x v="2"/>
          </reference>
        </references>
      </pivotArea>
    </chartFormat>
    <chartFormat chart="41" format="15">
      <pivotArea type="data" outline="0" fieldPosition="0">
        <references count="2">
          <reference field="4294967294" count="1" selected="0">
            <x v="0"/>
          </reference>
          <reference field="5" count="1" selected="0">
            <x v="3"/>
          </reference>
        </references>
      </pivotArea>
    </chartFormat>
    <chartFormat chart="41" format="16">
      <pivotArea type="data" outline="0" fieldPosition="0">
        <references count="2">
          <reference field="4294967294" count="1" selected="0">
            <x v="0"/>
          </reference>
          <reference field="5" count="1" selected="0">
            <x v="1"/>
          </reference>
        </references>
      </pivotArea>
    </chartFormat>
    <chartFormat chart="41" format="17">
      <pivotArea type="data" outline="0" fieldPosition="0">
        <references count="2">
          <reference field="4294967294" count="1" selected="0">
            <x v="0"/>
          </reference>
          <reference field="5" count="1" selected="0">
            <x v="0"/>
          </reference>
        </references>
      </pivotArea>
    </chartFormat>
    <chartFormat chart="43" format="24" series="1">
      <pivotArea type="data" outline="0" fieldPosition="0">
        <references count="1">
          <reference field="4294967294" count="1" selected="0">
            <x v="0"/>
          </reference>
        </references>
      </pivotArea>
    </chartFormat>
    <chartFormat chart="43" format="25">
      <pivotArea type="data" outline="0" fieldPosition="0">
        <references count="2">
          <reference field="4294967294" count="1" selected="0">
            <x v="0"/>
          </reference>
          <reference field="5" count="1" selected="0">
            <x v="4"/>
          </reference>
        </references>
      </pivotArea>
    </chartFormat>
    <chartFormat chart="43" format="26">
      <pivotArea type="data" outline="0" fieldPosition="0">
        <references count="2">
          <reference field="4294967294" count="1" selected="0">
            <x v="0"/>
          </reference>
          <reference field="5" count="1" selected="0">
            <x v="2"/>
          </reference>
        </references>
      </pivotArea>
    </chartFormat>
    <chartFormat chart="43" format="27">
      <pivotArea type="data" outline="0" fieldPosition="0">
        <references count="2">
          <reference field="4294967294" count="1" selected="0">
            <x v="0"/>
          </reference>
          <reference field="5" count="1" selected="0">
            <x v="3"/>
          </reference>
        </references>
      </pivotArea>
    </chartFormat>
    <chartFormat chart="43" format="28">
      <pivotArea type="data" outline="0" fieldPosition="0">
        <references count="2">
          <reference field="4294967294" count="1" selected="0">
            <x v="0"/>
          </reference>
          <reference field="5" count="1" selected="0">
            <x v="1"/>
          </reference>
        </references>
      </pivotArea>
    </chartFormat>
    <chartFormat chart="43" format="29">
      <pivotArea type="data" outline="0" fieldPosition="0">
        <references count="2">
          <reference field="4294967294" count="1" selected="0">
            <x v="0"/>
          </reference>
          <reference field="5" count="1" selected="0">
            <x v="0"/>
          </reference>
        </references>
      </pivotArea>
    </chartFormat>
    <chartFormat chart="52" format="36" series="1">
      <pivotArea type="data" outline="0" fieldPosition="0">
        <references count="1">
          <reference field="4294967294" count="1" selected="0">
            <x v="0"/>
          </reference>
        </references>
      </pivotArea>
    </chartFormat>
    <chartFormat chart="52" format="37">
      <pivotArea type="data" outline="0" fieldPosition="0">
        <references count="2">
          <reference field="4294967294" count="1" selected="0">
            <x v="0"/>
          </reference>
          <reference field="5" count="1" selected="0">
            <x v="4"/>
          </reference>
        </references>
      </pivotArea>
    </chartFormat>
    <chartFormat chart="52" format="38">
      <pivotArea type="data" outline="0" fieldPosition="0">
        <references count="2">
          <reference field="4294967294" count="1" selected="0">
            <x v="0"/>
          </reference>
          <reference field="5" count="1" selected="0">
            <x v="2"/>
          </reference>
        </references>
      </pivotArea>
    </chartFormat>
    <chartFormat chart="52" format="39">
      <pivotArea type="data" outline="0" fieldPosition="0">
        <references count="2">
          <reference field="4294967294" count="1" selected="0">
            <x v="0"/>
          </reference>
          <reference field="5" count="1" selected="0">
            <x v="3"/>
          </reference>
        </references>
      </pivotArea>
    </chartFormat>
    <chartFormat chart="52" format="40">
      <pivotArea type="data" outline="0" fieldPosition="0">
        <references count="2">
          <reference field="4294967294" count="1" selected="0">
            <x v="0"/>
          </reference>
          <reference field="5" count="1" selected="0">
            <x v="1"/>
          </reference>
        </references>
      </pivotArea>
    </chartFormat>
    <chartFormat chart="52" format="41">
      <pivotArea type="data" outline="0" fieldPosition="0">
        <references count="2">
          <reference field="4294967294" count="1" selected="0">
            <x v="0"/>
          </reference>
          <reference field="5" count="1" selected="0">
            <x v="0"/>
          </reference>
        </references>
      </pivotArea>
    </chartFormat>
    <chartFormat chart="53" format="42" series="1">
      <pivotArea type="data" outline="0" fieldPosition="0">
        <references count="1">
          <reference field="4294967294" count="1" selected="0">
            <x v="0"/>
          </reference>
        </references>
      </pivotArea>
    </chartFormat>
    <chartFormat chart="53" format="43">
      <pivotArea type="data" outline="0" fieldPosition="0">
        <references count="2">
          <reference field="4294967294" count="1" selected="0">
            <x v="0"/>
          </reference>
          <reference field="5" count="1" selected="0">
            <x v="4"/>
          </reference>
        </references>
      </pivotArea>
    </chartFormat>
    <chartFormat chart="53" format="44">
      <pivotArea type="data" outline="0" fieldPosition="0">
        <references count="2">
          <reference field="4294967294" count="1" selected="0">
            <x v="0"/>
          </reference>
          <reference field="5" count="1" selected="0">
            <x v="2"/>
          </reference>
        </references>
      </pivotArea>
    </chartFormat>
    <chartFormat chart="53" format="45">
      <pivotArea type="data" outline="0" fieldPosition="0">
        <references count="2">
          <reference field="4294967294" count="1" selected="0">
            <x v="0"/>
          </reference>
          <reference field="5" count="1" selected="0">
            <x v="3"/>
          </reference>
        </references>
      </pivotArea>
    </chartFormat>
    <chartFormat chart="53" format="46">
      <pivotArea type="data" outline="0" fieldPosition="0">
        <references count="2">
          <reference field="4294967294" count="1" selected="0">
            <x v="0"/>
          </reference>
          <reference field="5" count="1" selected="0">
            <x v="1"/>
          </reference>
        </references>
      </pivotArea>
    </chartFormat>
    <chartFormat chart="53" format="47">
      <pivotArea type="data" outline="0" fieldPosition="0">
        <references count="2">
          <reference field="4294967294" count="1" selected="0">
            <x v="0"/>
          </reference>
          <reference field="5" count="1" selected="0">
            <x v="0"/>
          </reference>
        </references>
      </pivotArea>
    </chartFormat>
    <chartFormat chart="57" format="24" series="1">
      <pivotArea type="data" outline="0" fieldPosition="0">
        <references count="1">
          <reference field="4294967294" count="1" selected="0">
            <x v="0"/>
          </reference>
        </references>
      </pivotArea>
    </chartFormat>
    <chartFormat chart="57" format="25">
      <pivotArea type="data" outline="0" fieldPosition="0">
        <references count="2">
          <reference field="4294967294" count="1" selected="0">
            <x v="0"/>
          </reference>
          <reference field="5" count="1" selected="0">
            <x v="4"/>
          </reference>
        </references>
      </pivotArea>
    </chartFormat>
    <chartFormat chart="57" format="26">
      <pivotArea type="data" outline="0" fieldPosition="0">
        <references count="2">
          <reference field="4294967294" count="1" selected="0">
            <x v="0"/>
          </reference>
          <reference field="5" count="1" selected="0">
            <x v="2"/>
          </reference>
        </references>
      </pivotArea>
    </chartFormat>
    <chartFormat chart="57" format="27">
      <pivotArea type="data" outline="0" fieldPosition="0">
        <references count="2">
          <reference field="4294967294" count="1" selected="0">
            <x v="0"/>
          </reference>
          <reference field="5" count="1" selected="0">
            <x v="3"/>
          </reference>
        </references>
      </pivotArea>
    </chartFormat>
    <chartFormat chart="57" format="28">
      <pivotArea type="data" outline="0" fieldPosition="0">
        <references count="2">
          <reference field="4294967294" count="1" selected="0">
            <x v="0"/>
          </reference>
          <reference field="5" count="1" selected="0">
            <x v="1"/>
          </reference>
        </references>
      </pivotArea>
    </chartFormat>
    <chartFormat chart="57" format="29">
      <pivotArea type="data" outline="0" fieldPosition="0">
        <references count="2">
          <reference field="4294967294" count="1" selected="0">
            <x v="0"/>
          </reference>
          <reference field="5" count="1" selected="0">
            <x v="0"/>
          </reference>
        </references>
      </pivotArea>
    </chartFormat>
    <chartFormat chart="60" format="31" series="1">
      <pivotArea type="data" outline="0" fieldPosition="0">
        <references count="1">
          <reference field="4294967294" count="1" selected="0">
            <x v="0"/>
          </reference>
        </references>
      </pivotArea>
    </chartFormat>
    <chartFormat chart="60" format="32">
      <pivotArea type="data" outline="0" fieldPosition="0">
        <references count="2">
          <reference field="4294967294" count="1" selected="0">
            <x v="0"/>
          </reference>
          <reference field="5" count="1" selected="0">
            <x v="4"/>
          </reference>
        </references>
      </pivotArea>
    </chartFormat>
    <chartFormat chart="60" format="33">
      <pivotArea type="data" outline="0" fieldPosition="0">
        <references count="2">
          <reference field="4294967294" count="1" selected="0">
            <x v="0"/>
          </reference>
          <reference field="5" count="1" selected="0">
            <x v="2"/>
          </reference>
        </references>
      </pivotArea>
    </chartFormat>
    <chartFormat chart="60" format="34">
      <pivotArea type="data" outline="0" fieldPosition="0">
        <references count="2">
          <reference field="4294967294" count="1" selected="0">
            <x v="0"/>
          </reference>
          <reference field="5" count="1" selected="0">
            <x v="3"/>
          </reference>
        </references>
      </pivotArea>
    </chartFormat>
    <chartFormat chart="60" format="35">
      <pivotArea type="data" outline="0" fieldPosition="0">
        <references count="2">
          <reference field="4294967294" count="1" selected="0">
            <x v="0"/>
          </reference>
          <reference field="5" count="1" selected="0">
            <x v="1"/>
          </reference>
        </references>
      </pivotArea>
    </chartFormat>
    <chartFormat chart="60" format="36">
      <pivotArea type="data" outline="0" fieldPosition="0">
        <references count="2">
          <reference field="4294967294" count="1" selected="0">
            <x v="0"/>
          </reference>
          <reference field="5" count="1" selected="0">
            <x v="0"/>
          </reference>
        </references>
      </pivotArea>
    </chartFormat>
    <chartFormat chart="61" format="37" series="1">
      <pivotArea type="data" outline="0" fieldPosition="0">
        <references count="1">
          <reference field="4294967294" count="1" selected="0">
            <x v="0"/>
          </reference>
        </references>
      </pivotArea>
    </chartFormat>
    <chartFormat chart="61" format="38">
      <pivotArea type="data" outline="0" fieldPosition="0">
        <references count="2">
          <reference field="4294967294" count="1" selected="0">
            <x v="0"/>
          </reference>
          <reference field="5" count="1" selected="0">
            <x v="4"/>
          </reference>
        </references>
      </pivotArea>
    </chartFormat>
    <chartFormat chart="61" format="39">
      <pivotArea type="data" outline="0" fieldPosition="0">
        <references count="2">
          <reference field="4294967294" count="1" selected="0">
            <x v="0"/>
          </reference>
          <reference field="5" count="1" selected="0">
            <x v="2"/>
          </reference>
        </references>
      </pivotArea>
    </chartFormat>
    <chartFormat chart="61" format="40">
      <pivotArea type="data" outline="0" fieldPosition="0">
        <references count="2">
          <reference field="4294967294" count="1" selected="0">
            <x v="0"/>
          </reference>
          <reference field="5" count="1" selected="0">
            <x v="3"/>
          </reference>
        </references>
      </pivotArea>
    </chartFormat>
    <chartFormat chart="61" format="41">
      <pivotArea type="data" outline="0" fieldPosition="0">
        <references count="2">
          <reference field="4294967294" count="1" selected="0">
            <x v="0"/>
          </reference>
          <reference field="5" count="1" selected="0">
            <x v="1"/>
          </reference>
        </references>
      </pivotArea>
    </chartFormat>
    <chartFormat chart="61" format="42">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8ACC84-79B3-4486-82A5-44FD4AE167F6}"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U2:V8" firstHeaderRow="1" firstDataRow="1" firstDataCol="1"/>
  <pivotFields count="11">
    <pivotField showAll="0"/>
    <pivotField numFmtId="164" showAll="0"/>
    <pivotField showAll="0"/>
    <pivotField showAll="0"/>
    <pivotField showAll="0"/>
    <pivotField axis="axisRow" showAll="0" sortType="ascending">
      <items count="6">
        <item x="2"/>
        <item x="0"/>
        <item x="4"/>
        <item x="1"/>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s>
  <rowFields count="1">
    <field x="5"/>
  </rowFields>
  <rowItems count="6">
    <i>
      <x v="2"/>
    </i>
    <i>
      <x/>
    </i>
    <i>
      <x v="3"/>
    </i>
    <i>
      <x v="1"/>
    </i>
    <i>
      <x v="4"/>
    </i>
    <i t="grand">
      <x/>
    </i>
  </rowItems>
  <colItems count="1">
    <i/>
  </colItems>
  <dataFields count="1">
    <dataField name="Sum of Units Sold" fld="7"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4"/>
          </reference>
        </references>
      </pivotArea>
    </chartFormat>
    <chartFormat chart="0" format="5">
      <pivotArea type="data" outline="0" fieldPosition="0">
        <references count="2">
          <reference field="4294967294" count="1" selected="0">
            <x v="0"/>
          </reference>
          <reference field="5" count="1" selected="0">
            <x v="3"/>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5" count="1" selected="0">
            <x v="2"/>
          </reference>
        </references>
      </pivotArea>
    </chartFormat>
    <chartFormat chart="2" format="14">
      <pivotArea type="data" outline="0" fieldPosition="0">
        <references count="2">
          <reference field="4294967294" count="1" selected="0">
            <x v="0"/>
          </reference>
          <reference field="5" count="1" selected="0">
            <x v="0"/>
          </reference>
        </references>
      </pivotArea>
    </chartFormat>
    <chartFormat chart="2" format="15">
      <pivotArea type="data" outline="0" fieldPosition="0">
        <references count="2">
          <reference field="4294967294" count="1" selected="0">
            <x v="0"/>
          </reference>
          <reference field="5" count="1" selected="0">
            <x v="3"/>
          </reference>
        </references>
      </pivotArea>
    </chartFormat>
    <chartFormat chart="2" format="16">
      <pivotArea type="data" outline="0" fieldPosition="0">
        <references count="2">
          <reference field="4294967294" count="1" selected="0">
            <x v="0"/>
          </reference>
          <reference field="5" count="1" selected="0">
            <x v="1"/>
          </reference>
        </references>
      </pivotArea>
    </chartFormat>
    <chartFormat chart="2" format="17">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3B81F5-0C76-48F4-8DED-B32C77A597A2}"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17:V30" firstHeaderRow="1" firstDataRow="1" firstDataCol="1"/>
  <pivotFields count="11">
    <pivotField showAll="0"/>
    <pivotField numFmtId="164" showAll="0"/>
    <pivotField showAll="0"/>
    <pivotField axis="axisRow" showAll="0" sortType="descending">
      <items count="13">
        <item x="2"/>
        <item x="10"/>
        <item x="1"/>
        <item x="5"/>
        <item x="8"/>
        <item x="11"/>
        <item x="9"/>
        <item x="6"/>
        <item x="4"/>
        <item x="7"/>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s>
  <rowFields count="1">
    <field x="3"/>
  </rowFields>
  <rowItems count="13">
    <i>
      <x v="5"/>
    </i>
    <i>
      <x v="3"/>
    </i>
    <i>
      <x v="7"/>
    </i>
    <i>
      <x v="10"/>
    </i>
    <i>
      <x v="2"/>
    </i>
    <i>
      <x v="6"/>
    </i>
    <i>
      <x v="11"/>
    </i>
    <i>
      <x v="9"/>
    </i>
    <i>
      <x v="8"/>
    </i>
    <i>
      <x v="1"/>
    </i>
    <i>
      <x v="4"/>
    </i>
    <i>
      <x/>
    </i>
    <i t="grand">
      <x/>
    </i>
  </rowItems>
  <colItems count="1">
    <i/>
  </colItems>
  <dataFields count="1">
    <dataField name="Sum of Revenue ($)"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FE6D93-8FC5-4C0C-9046-E4B36C7F514D}" name="PivotTable4"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W2:X7" firstHeaderRow="1" firstDataRow="1" firstDataCol="1"/>
  <pivotFields count="11">
    <pivotField showAll="0"/>
    <pivotField numFmtId="164" showAll="0"/>
    <pivotField showAll="0"/>
    <pivotField showAll="0"/>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s>
  <rowFields count="1">
    <field x="4"/>
  </rowFields>
  <rowItems count="5">
    <i>
      <x/>
    </i>
    <i>
      <x v="1"/>
    </i>
    <i>
      <x v="2"/>
    </i>
    <i>
      <x v="3"/>
    </i>
    <i t="grand">
      <x/>
    </i>
  </rowItems>
  <colItems count="1">
    <i/>
  </colItems>
  <dataFields count="1">
    <dataField name="Sum of Revenue ($)" fld="9" baseField="0" baseItem="0"/>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3"/>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 chart="1" format="4">
      <pivotArea type="data" outline="0" fieldPosition="0">
        <references count="2">
          <reference field="4294967294" count="1" selected="0">
            <x v="0"/>
          </reference>
          <reference field="4" count="1" selected="0">
            <x v="1"/>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4" count="1" selected="0">
            <x v="0"/>
          </reference>
        </references>
      </pivotArea>
    </chartFormat>
    <chartFormat chart="3" format="12">
      <pivotArea type="data" outline="0" fieldPosition="0">
        <references count="2">
          <reference field="4294967294" count="1" selected="0">
            <x v="0"/>
          </reference>
          <reference field="4" count="1" selected="0">
            <x v="1"/>
          </reference>
        </references>
      </pivotArea>
    </chartFormat>
    <chartFormat chart="3" format="13">
      <pivotArea type="data" outline="0" fieldPosition="0">
        <references count="2">
          <reference field="4294967294" count="1" selected="0">
            <x v="0"/>
          </reference>
          <reference field="4" count="1" selected="0">
            <x v="2"/>
          </reference>
        </references>
      </pivotArea>
    </chartFormat>
    <chartFormat chart="3"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741E0C-280E-4789-9F0D-DC6CE7DF8B5E}"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11:V15" firstHeaderRow="1" firstDataRow="1" firstDataCol="1"/>
  <pivotFields count="11">
    <pivotField showAll="0"/>
    <pivotField numFmtId="164" showAll="0"/>
    <pivotField showAll="0"/>
    <pivotField axis="axisRow" showAll="0" measureFilter="1">
      <items count="13">
        <item x="2"/>
        <item x="10"/>
        <item x="1"/>
        <item x="5"/>
        <item x="8"/>
        <item x="11"/>
        <item x="9"/>
        <item x="6"/>
        <item x="4"/>
        <item x="7"/>
        <item x="0"/>
        <item x="3"/>
        <item t="default"/>
      </items>
    </pivotField>
    <pivotField showAll="0"/>
    <pivotField showAll="0"/>
    <pivotField showAll="0"/>
    <pivotField showAll="0"/>
    <pivotField showAll="0"/>
    <pivotField dataField="1" showAll="0"/>
    <pivotField showAll="0"/>
  </pivotFields>
  <rowFields count="1">
    <field x="3"/>
  </rowFields>
  <rowItems count="4">
    <i>
      <x v="3"/>
    </i>
    <i>
      <x v="5"/>
    </i>
    <i>
      <x v="7"/>
    </i>
    <i t="grand">
      <x/>
    </i>
  </rowItems>
  <colItems count="1">
    <i/>
  </colItems>
  <dataFields count="1">
    <dataField name="Sum of Revenue ($)" fld="9" baseField="0" baseItem="0"/>
  </dataFields>
  <pivotTableStyleInfo name="PivotStyleLight16" showRowHeaders="1" showColHeaders="1" showRowStripes="0" showColStripes="0" showLastColumn="1"/>
  <filters count="1">
    <filter fld="3"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E5DF8C-ED31-4CB4-9571-20249CC8179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C10:I16" firstHeaderRow="1" firstDataRow="2" firstDataCol="1"/>
  <pivotFields count="11">
    <pivotField showAll="0"/>
    <pivotField showAll="0"/>
    <pivotField showAll="0">
      <items count="7">
        <item x="5"/>
        <item x="0"/>
        <item x="1"/>
        <item x="2"/>
        <item x="3"/>
        <item x="4"/>
        <item t="default"/>
      </items>
    </pivotField>
    <pivotField showAll="0"/>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axis="axisCol" showAll="0" sortType="descending">
      <items count="6">
        <item x="2"/>
        <item x="0"/>
        <item x="4"/>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s>
  <rowFields count="1">
    <field x="4"/>
  </rowFields>
  <rowItems count="5">
    <i>
      <x v="1"/>
    </i>
    <i>
      <x/>
    </i>
    <i>
      <x v="2"/>
    </i>
    <i>
      <x v="3"/>
    </i>
    <i t="grand">
      <x/>
    </i>
  </rowItems>
  <colFields count="1">
    <field x="5"/>
  </colFields>
  <colItems count="6">
    <i>
      <x v="4"/>
    </i>
    <i>
      <x v="2"/>
    </i>
    <i>
      <x v="3"/>
    </i>
    <i>
      <x v="1"/>
    </i>
    <i>
      <x/>
    </i>
    <i t="grand">
      <x/>
    </i>
  </colItems>
  <dataFields count="1">
    <dataField name="Sum of Revenue ($)" fld="9" baseField="0" baseItem="0"/>
  </dataFields>
  <chartFormats count="15">
    <chartFormat chart="33" format="10" series="1">
      <pivotArea type="data" outline="0" fieldPosition="0">
        <references count="2">
          <reference field="4294967294" count="1" selected="0">
            <x v="0"/>
          </reference>
          <reference field="5" count="1" selected="0">
            <x v="4"/>
          </reference>
        </references>
      </pivotArea>
    </chartFormat>
    <chartFormat chart="33" format="11" series="1">
      <pivotArea type="data" outline="0" fieldPosition="0">
        <references count="2">
          <reference field="4294967294" count="1" selected="0">
            <x v="0"/>
          </reference>
          <reference field="5" count="1" selected="0">
            <x v="2"/>
          </reference>
        </references>
      </pivotArea>
    </chartFormat>
    <chartFormat chart="33" format="12" series="1">
      <pivotArea type="data" outline="0" fieldPosition="0">
        <references count="2">
          <reference field="4294967294" count="1" selected="0">
            <x v="0"/>
          </reference>
          <reference field="5" count="1" selected="0">
            <x v="3"/>
          </reference>
        </references>
      </pivotArea>
    </chartFormat>
    <chartFormat chart="33" format="13" series="1">
      <pivotArea type="data" outline="0" fieldPosition="0">
        <references count="2">
          <reference field="4294967294" count="1" selected="0">
            <x v="0"/>
          </reference>
          <reference field="5" count="1" selected="0">
            <x v="1"/>
          </reference>
        </references>
      </pivotArea>
    </chartFormat>
    <chartFormat chart="33" format="14" series="1">
      <pivotArea type="data" outline="0" fieldPosition="0">
        <references count="2">
          <reference field="4294967294" count="1" selected="0">
            <x v="0"/>
          </reference>
          <reference field="5" count="1" selected="0">
            <x v="0"/>
          </reference>
        </references>
      </pivotArea>
    </chartFormat>
    <chartFormat chart="34" format="10" series="1">
      <pivotArea type="data" outline="0" fieldPosition="0">
        <references count="2">
          <reference field="4294967294" count="1" selected="0">
            <x v="0"/>
          </reference>
          <reference field="5" count="1" selected="0">
            <x v="4"/>
          </reference>
        </references>
      </pivotArea>
    </chartFormat>
    <chartFormat chart="34" format="11" series="1">
      <pivotArea type="data" outline="0" fieldPosition="0">
        <references count="2">
          <reference field="4294967294" count="1" selected="0">
            <x v="0"/>
          </reference>
          <reference field="5" count="1" selected="0">
            <x v="2"/>
          </reference>
        </references>
      </pivotArea>
    </chartFormat>
    <chartFormat chart="34" format="12" series="1">
      <pivotArea type="data" outline="0" fieldPosition="0">
        <references count="2">
          <reference field="4294967294" count="1" selected="0">
            <x v="0"/>
          </reference>
          <reference field="5" count="1" selected="0">
            <x v="3"/>
          </reference>
        </references>
      </pivotArea>
    </chartFormat>
    <chartFormat chart="34" format="13" series="1">
      <pivotArea type="data" outline="0" fieldPosition="0">
        <references count="2">
          <reference field="4294967294" count="1" selected="0">
            <x v="0"/>
          </reference>
          <reference field="5" count="1" selected="0">
            <x v="1"/>
          </reference>
        </references>
      </pivotArea>
    </chartFormat>
    <chartFormat chart="34" format="14" series="1">
      <pivotArea type="data" outline="0" fieldPosition="0">
        <references count="2">
          <reference field="4294967294" count="1" selected="0">
            <x v="0"/>
          </reference>
          <reference field="5" count="1" selected="0">
            <x v="0"/>
          </reference>
        </references>
      </pivotArea>
    </chartFormat>
    <chartFormat chart="41" format="20" series="1">
      <pivotArea type="data" outline="0" fieldPosition="0">
        <references count="2">
          <reference field="4294967294" count="1" selected="0">
            <x v="0"/>
          </reference>
          <reference field="5" count="1" selected="0">
            <x v="4"/>
          </reference>
        </references>
      </pivotArea>
    </chartFormat>
    <chartFormat chart="41" format="21" series="1">
      <pivotArea type="data" outline="0" fieldPosition="0">
        <references count="2">
          <reference field="4294967294" count="1" selected="0">
            <x v="0"/>
          </reference>
          <reference field="5" count="1" selected="0">
            <x v="2"/>
          </reference>
        </references>
      </pivotArea>
    </chartFormat>
    <chartFormat chart="41" format="22" series="1">
      <pivotArea type="data" outline="0" fieldPosition="0">
        <references count="2">
          <reference field="4294967294" count="1" selected="0">
            <x v="0"/>
          </reference>
          <reference field="5" count="1" selected="0">
            <x v="3"/>
          </reference>
        </references>
      </pivotArea>
    </chartFormat>
    <chartFormat chart="41" format="23" series="1">
      <pivotArea type="data" outline="0" fieldPosition="0">
        <references count="2">
          <reference field="4294967294" count="1" selected="0">
            <x v="0"/>
          </reference>
          <reference field="5" count="1" selected="0">
            <x v="1"/>
          </reference>
        </references>
      </pivotArea>
    </chartFormat>
    <chartFormat chart="41" format="24"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8C698C-DD3F-4C82-8E12-2D685BE25EC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1">
    <pivotField showAll="0"/>
    <pivotField showAll="0"/>
    <pivotField showAll="0">
      <items count="7">
        <item x="5"/>
        <item x="0"/>
        <item x="1"/>
        <item x="2"/>
        <item x="3"/>
        <item x="4"/>
        <item t="default"/>
      </items>
    </pivotField>
    <pivotField showAll="0"/>
    <pivotField axis="axisRow" showAll="0">
      <items count="5">
        <item x="1"/>
        <item x="3"/>
        <item x="0"/>
        <item x="2"/>
        <item t="default"/>
      </items>
    </pivotField>
    <pivotField showAll="0">
      <items count="6">
        <item x="2"/>
        <item x="0"/>
        <item x="4"/>
        <item x="1"/>
        <item x="3"/>
        <item t="default"/>
      </items>
    </pivotField>
    <pivotField showAll="0"/>
    <pivotField showAll="0"/>
    <pivotField showAll="0"/>
    <pivotField dataField="1" showAll="0"/>
    <pivotField showAll="0"/>
  </pivotFields>
  <rowFields count="1">
    <field x="4"/>
  </rowFields>
  <rowItems count="5">
    <i>
      <x/>
    </i>
    <i>
      <x v="1"/>
    </i>
    <i>
      <x v="2"/>
    </i>
    <i>
      <x v="3"/>
    </i>
    <i t="grand">
      <x/>
    </i>
  </rowItems>
  <colItems count="1">
    <i/>
  </colItems>
  <dataFields count="1">
    <dataField name="Sum of Revenue ($)"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128E237-B856-4DBE-9CAF-4776969AB9AE}"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80:G362" firstHeaderRow="1" firstDataRow="1" firstDataCol="1"/>
  <pivotFields count="11">
    <pivotField showAll="0"/>
    <pivotField axis="axisRow" showAll="0">
      <items count="85">
        <item x="83"/>
        <item sd="0" x="29"/>
        <item x="59"/>
        <item x="5"/>
        <item x="35"/>
        <item x="65"/>
        <item x="11"/>
        <item x="41"/>
        <item x="71"/>
        <item x="17"/>
        <item x="47"/>
        <item x="77"/>
        <item x="23"/>
        <item x="53"/>
        <item x="0"/>
        <item x="30"/>
        <item x="60"/>
        <item x="6"/>
        <item x="36"/>
        <item x="66"/>
        <item x="12"/>
        <item x="42"/>
        <item x="72"/>
        <item x="18"/>
        <item x="48"/>
        <item x="78"/>
        <item x="24"/>
        <item x="54"/>
        <item x="55"/>
        <item x="1"/>
        <item x="31"/>
        <item x="61"/>
        <item x="7"/>
        <item x="37"/>
        <item x="67"/>
        <item x="13"/>
        <item x="43"/>
        <item x="73"/>
        <item x="19"/>
        <item x="49"/>
        <item x="79"/>
        <item x="25"/>
        <item x="56"/>
        <item x="2"/>
        <item x="32"/>
        <item x="62"/>
        <item x="8"/>
        <item x="38"/>
        <item x="68"/>
        <item x="14"/>
        <item x="44"/>
        <item x="74"/>
        <item x="20"/>
        <item x="50"/>
        <item x="80"/>
        <item x="26"/>
        <item x="27"/>
        <item x="57"/>
        <item x="3"/>
        <item x="33"/>
        <item x="63"/>
        <item x="9"/>
        <item x="39"/>
        <item x="69"/>
        <item x="15"/>
        <item x="45"/>
        <item x="75"/>
        <item x="21"/>
        <item x="51"/>
        <item x="81"/>
        <item x="28"/>
        <item x="58"/>
        <item x="4"/>
        <item x="34"/>
        <item x="64"/>
        <item x="10"/>
        <item x="40"/>
        <item x="70"/>
        <item x="16"/>
        <item x="46"/>
        <item x="76"/>
        <item x="22"/>
        <item x="52"/>
        <item x="82"/>
        <item t="default"/>
      </items>
    </pivotField>
    <pivotField showAll="0">
      <items count="7">
        <item x="5"/>
        <item x="0"/>
        <item x="1"/>
        <item x="2"/>
        <item x="3"/>
        <item x="4"/>
        <item t="default"/>
      </items>
    </pivotField>
    <pivotField showAll="0"/>
    <pivotField showAll="0">
      <items count="5">
        <item x="1"/>
        <item x="3"/>
        <item x="0"/>
        <item x="2"/>
        <item t="default"/>
      </items>
    </pivotField>
    <pivotField showAll="0">
      <items count="6">
        <item x="2"/>
        <item x="0"/>
        <item x="4"/>
        <item x="1"/>
        <item x="3"/>
        <item t="default"/>
      </items>
    </pivotField>
    <pivotField axis="axisRow" showAll="0">
      <items count="31">
        <item x="25"/>
        <item x="14"/>
        <item x="18"/>
        <item x="22"/>
        <item x="9"/>
        <item x="12"/>
        <item x="11"/>
        <item x="17"/>
        <item x="28"/>
        <item x="13"/>
        <item x="1"/>
        <item x="29"/>
        <item x="15"/>
        <item x="21"/>
        <item x="6"/>
        <item x="0"/>
        <item x="7"/>
        <item x="24"/>
        <item x="5"/>
        <item x="26"/>
        <item x="23"/>
        <item x="10"/>
        <item x="19"/>
        <item x="27"/>
        <item x="4"/>
        <item x="2"/>
        <item x="3"/>
        <item x="16"/>
        <item x="8"/>
        <item x="20"/>
        <item t="default"/>
      </items>
    </pivotField>
    <pivotField showAll="0"/>
    <pivotField showAll="0"/>
    <pivotField dataField="1" showAll="0"/>
    <pivotField showAll="0"/>
  </pivotFields>
  <rowFields count="2">
    <field x="1"/>
    <field x="6"/>
  </rowFields>
  <rowItems count="282">
    <i>
      <x/>
    </i>
    <i r="1">
      <x v="7"/>
    </i>
    <i r="1">
      <x v="20"/>
    </i>
    <i>
      <x v="1"/>
    </i>
    <i>
      <x v="2"/>
    </i>
    <i r="1">
      <x v="11"/>
    </i>
    <i r="1">
      <x v="20"/>
    </i>
    <i>
      <x v="3"/>
    </i>
    <i r="1">
      <x v="11"/>
    </i>
    <i r="1">
      <x v="18"/>
    </i>
    <i r="1">
      <x v="20"/>
    </i>
    <i>
      <x v="4"/>
    </i>
    <i r="1">
      <x v="11"/>
    </i>
    <i r="1">
      <x v="18"/>
    </i>
    <i>
      <x v="5"/>
    </i>
    <i r="1">
      <x v="11"/>
    </i>
    <i r="1">
      <x v="18"/>
    </i>
    <i>
      <x v="6"/>
    </i>
    <i r="1">
      <x v="6"/>
    </i>
    <i r="1">
      <x v="11"/>
    </i>
    <i r="1">
      <x v="18"/>
    </i>
    <i>
      <x v="7"/>
    </i>
    <i r="1">
      <x v="6"/>
    </i>
    <i r="1">
      <x v="18"/>
    </i>
    <i>
      <x v="8"/>
    </i>
    <i r="1">
      <x v="6"/>
    </i>
    <i r="1">
      <x v="18"/>
    </i>
    <i>
      <x v="9"/>
    </i>
    <i r="1">
      <x v="6"/>
    </i>
    <i r="1">
      <x v="7"/>
    </i>
    <i r="1">
      <x v="18"/>
    </i>
    <i>
      <x v="10"/>
    </i>
    <i r="1">
      <x v="6"/>
    </i>
    <i r="1">
      <x v="7"/>
    </i>
    <i>
      <x v="11"/>
    </i>
    <i r="1">
      <x v="6"/>
    </i>
    <i r="1">
      <x v="7"/>
    </i>
    <i>
      <x v="12"/>
    </i>
    <i r="1">
      <x v="6"/>
    </i>
    <i r="1">
      <x v="7"/>
    </i>
    <i r="1">
      <x v="20"/>
    </i>
    <i>
      <x v="13"/>
    </i>
    <i r="1">
      <x v="7"/>
    </i>
    <i r="1">
      <x v="20"/>
    </i>
    <i>
      <x v="14"/>
    </i>
    <i r="1">
      <x v="2"/>
    </i>
    <i r="1">
      <x v="15"/>
    </i>
    <i r="1">
      <x v="17"/>
    </i>
    <i>
      <x v="15"/>
    </i>
    <i r="1">
      <x v="2"/>
    </i>
    <i r="1">
      <x v="15"/>
    </i>
    <i r="1">
      <x v="17"/>
    </i>
    <i>
      <x v="16"/>
    </i>
    <i r="1">
      <x v="15"/>
    </i>
    <i r="1">
      <x v="17"/>
    </i>
    <i>
      <x v="17"/>
    </i>
    <i r="1">
      <x v="14"/>
    </i>
    <i r="1">
      <x v="15"/>
    </i>
    <i r="1">
      <x v="17"/>
    </i>
    <i>
      <x v="18"/>
    </i>
    <i r="1">
      <x v="14"/>
    </i>
    <i r="1">
      <x v="15"/>
    </i>
    <i>
      <x v="19"/>
    </i>
    <i r="1">
      <x v="14"/>
    </i>
    <i r="1">
      <x v="15"/>
    </i>
    <i>
      <x v="20"/>
    </i>
    <i r="1">
      <x v="5"/>
    </i>
    <i r="1">
      <x v="14"/>
    </i>
    <i r="1">
      <x v="15"/>
    </i>
    <i>
      <x v="21"/>
    </i>
    <i r="1">
      <x v="5"/>
    </i>
    <i r="1">
      <x v="14"/>
    </i>
    <i>
      <x v="22"/>
    </i>
    <i r="1">
      <x v="5"/>
    </i>
    <i r="1">
      <x v="14"/>
    </i>
    <i>
      <x v="23"/>
    </i>
    <i r="1">
      <x v="2"/>
    </i>
    <i r="1">
      <x v="5"/>
    </i>
    <i r="1">
      <x v="14"/>
    </i>
    <i>
      <x v="24"/>
    </i>
    <i r="1">
      <x v="2"/>
    </i>
    <i r="1">
      <x v="5"/>
    </i>
    <i>
      <x v="25"/>
    </i>
    <i r="1">
      <x v="2"/>
    </i>
    <i r="1">
      <x v="5"/>
    </i>
    <i>
      <x v="26"/>
    </i>
    <i r="1">
      <x v="2"/>
    </i>
    <i r="1">
      <x v="5"/>
    </i>
    <i r="1">
      <x v="17"/>
    </i>
    <i>
      <x v="27"/>
    </i>
    <i r="1">
      <x v="2"/>
    </i>
    <i r="1">
      <x v="17"/>
    </i>
    <i>
      <x v="28"/>
    </i>
    <i r="1">
      <x/>
    </i>
    <i r="1">
      <x v="22"/>
    </i>
    <i>
      <x v="29"/>
    </i>
    <i r="1">
      <x/>
    </i>
    <i r="1">
      <x v="10"/>
    </i>
    <i r="1">
      <x v="22"/>
    </i>
    <i>
      <x v="30"/>
    </i>
    <i r="1">
      <x/>
    </i>
    <i r="1">
      <x v="10"/>
    </i>
    <i r="1">
      <x v="22"/>
    </i>
    <i>
      <x v="31"/>
    </i>
    <i r="1">
      <x/>
    </i>
    <i r="1">
      <x v="10"/>
    </i>
    <i>
      <x v="32"/>
    </i>
    <i r="1">
      <x/>
    </i>
    <i r="1">
      <x v="10"/>
    </i>
    <i r="1">
      <x v="16"/>
    </i>
    <i>
      <x v="33"/>
    </i>
    <i r="1">
      <x v="10"/>
    </i>
    <i r="1">
      <x v="16"/>
    </i>
    <i>
      <x v="34"/>
    </i>
    <i r="1">
      <x v="10"/>
    </i>
    <i r="1">
      <x v="16"/>
    </i>
    <i>
      <x v="35"/>
    </i>
    <i r="1">
      <x v="9"/>
    </i>
    <i r="1">
      <x v="10"/>
    </i>
    <i r="1">
      <x v="16"/>
    </i>
    <i>
      <x v="36"/>
    </i>
    <i r="1">
      <x v="9"/>
    </i>
    <i r="1">
      <x v="16"/>
    </i>
    <i>
      <x v="37"/>
    </i>
    <i r="1">
      <x v="9"/>
    </i>
    <i r="1">
      <x v="16"/>
    </i>
    <i>
      <x v="38"/>
    </i>
    <i r="1">
      <x v="9"/>
    </i>
    <i r="1">
      <x v="16"/>
    </i>
    <i r="1">
      <x v="22"/>
    </i>
    <i>
      <x v="39"/>
    </i>
    <i r="1">
      <x v="9"/>
    </i>
    <i r="1">
      <x v="22"/>
    </i>
    <i>
      <x v="40"/>
    </i>
    <i r="1">
      <x v="9"/>
    </i>
    <i r="1">
      <x v="22"/>
    </i>
    <i>
      <x v="41"/>
    </i>
    <i r="1">
      <x/>
    </i>
    <i r="1">
      <x v="9"/>
    </i>
    <i r="1">
      <x v="22"/>
    </i>
    <i>
      <x v="42"/>
    </i>
    <i r="1">
      <x v="19"/>
    </i>
    <i r="1">
      <x v="29"/>
    </i>
    <i>
      <x v="43"/>
    </i>
    <i r="1">
      <x v="19"/>
    </i>
    <i r="1">
      <x v="25"/>
    </i>
    <i r="1">
      <x v="29"/>
    </i>
    <i>
      <x v="44"/>
    </i>
    <i r="1">
      <x v="19"/>
    </i>
    <i r="1">
      <x v="25"/>
    </i>
    <i>
      <x v="45"/>
    </i>
    <i r="1">
      <x v="19"/>
    </i>
    <i r="1">
      <x v="25"/>
    </i>
    <i>
      <x v="46"/>
    </i>
    <i r="1">
      <x v="19"/>
    </i>
    <i r="1">
      <x v="25"/>
    </i>
    <i r="1">
      <x v="28"/>
    </i>
    <i>
      <x v="47"/>
    </i>
    <i r="1">
      <x v="25"/>
    </i>
    <i r="1">
      <x v="28"/>
    </i>
    <i>
      <x v="48"/>
    </i>
    <i r="1">
      <x v="25"/>
    </i>
    <i r="1">
      <x v="28"/>
    </i>
    <i>
      <x v="49"/>
    </i>
    <i r="1">
      <x v="1"/>
    </i>
    <i r="1">
      <x v="25"/>
    </i>
    <i r="1">
      <x v="28"/>
    </i>
    <i>
      <x v="50"/>
    </i>
    <i r="1">
      <x v="1"/>
    </i>
    <i r="1">
      <x v="28"/>
    </i>
    <i>
      <x v="51"/>
    </i>
    <i r="1">
      <x v="1"/>
    </i>
    <i r="1">
      <x v="28"/>
    </i>
    <i>
      <x v="52"/>
    </i>
    <i r="1">
      <x v="1"/>
    </i>
    <i r="1">
      <x v="28"/>
    </i>
    <i r="1">
      <x v="29"/>
    </i>
    <i>
      <x v="53"/>
    </i>
    <i r="1">
      <x v="1"/>
    </i>
    <i r="1">
      <x v="29"/>
    </i>
    <i>
      <x v="54"/>
    </i>
    <i r="1">
      <x v="1"/>
    </i>
    <i r="1">
      <x v="29"/>
    </i>
    <i>
      <x v="55"/>
    </i>
    <i r="1">
      <x v="1"/>
    </i>
    <i r="1">
      <x v="19"/>
    </i>
    <i r="1">
      <x v="29"/>
    </i>
    <i>
      <x v="56"/>
    </i>
    <i r="1">
      <x v="12"/>
    </i>
    <i r="1">
      <x v="13"/>
    </i>
    <i r="1">
      <x v="23"/>
    </i>
    <i>
      <x v="57"/>
    </i>
    <i r="1">
      <x v="13"/>
    </i>
    <i r="1">
      <x v="23"/>
    </i>
    <i>
      <x v="58"/>
    </i>
    <i r="1">
      <x v="13"/>
    </i>
    <i r="1">
      <x v="23"/>
    </i>
    <i r="1">
      <x v="26"/>
    </i>
    <i>
      <x v="59"/>
    </i>
    <i r="1">
      <x v="23"/>
    </i>
    <i r="1">
      <x v="26"/>
    </i>
    <i>
      <x v="60"/>
    </i>
    <i r="1">
      <x v="23"/>
    </i>
    <i r="1">
      <x v="26"/>
    </i>
    <i>
      <x v="61"/>
    </i>
    <i r="1">
      <x v="4"/>
    </i>
    <i r="1">
      <x v="23"/>
    </i>
    <i r="1">
      <x v="26"/>
    </i>
    <i>
      <x v="62"/>
    </i>
    <i r="1">
      <x v="4"/>
    </i>
    <i r="1">
      <x v="26"/>
    </i>
    <i>
      <x v="63"/>
    </i>
    <i r="1">
      <x v="4"/>
    </i>
    <i r="1">
      <x v="26"/>
    </i>
    <i>
      <x v="64"/>
    </i>
    <i r="1">
      <x v="4"/>
    </i>
    <i r="1">
      <x v="12"/>
    </i>
    <i r="1">
      <x v="26"/>
    </i>
    <i>
      <x v="65"/>
    </i>
    <i r="1">
      <x v="4"/>
    </i>
    <i r="1">
      <x v="12"/>
    </i>
    <i>
      <x v="66"/>
    </i>
    <i r="1">
      <x v="4"/>
    </i>
    <i r="1">
      <x v="12"/>
    </i>
    <i>
      <x v="67"/>
    </i>
    <i r="1">
      <x v="4"/>
    </i>
    <i r="1">
      <x v="12"/>
    </i>
    <i r="1">
      <x v="13"/>
    </i>
    <i>
      <x v="68"/>
    </i>
    <i r="1">
      <x v="12"/>
    </i>
    <i r="1">
      <x v="13"/>
    </i>
    <i>
      <x v="69"/>
    </i>
    <i r="1">
      <x v="12"/>
    </i>
    <i r="1">
      <x v="13"/>
    </i>
    <i>
      <x v="70"/>
    </i>
    <i r="1">
      <x v="3"/>
    </i>
    <i r="1">
      <x v="8"/>
    </i>
    <i r="1">
      <x v="27"/>
    </i>
    <i>
      <x v="71"/>
    </i>
    <i r="1">
      <x v="3"/>
    </i>
    <i r="1">
      <x v="8"/>
    </i>
    <i>
      <x v="72"/>
    </i>
    <i r="1">
      <x v="3"/>
    </i>
    <i r="1">
      <x v="8"/>
    </i>
    <i r="1">
      <x v="24"/>
    </i>
    <i>
      <x v="73"/>
    </i>
    <i r="1">
      <x v="8"/>
    </i>
    <i r="1">
      <x v="24"/>
    </i>
    <i>
      <x v="74"/>
    </i>
    <i r="1">
      <x v="8"/>
    </i>
    <i r="1">
      <x v="24"/>
    </i>
    <i>
      <x v="75"/>
    </i>
    <i r="1">
      <x v="8"/>
    </i>
    <i r="1">
      <x v="21"/>
    </i>
    <i r="1">
      <x v="24"/>
    </i>
    <i>
      <x v="76"/>
    </i>
    <i r="1">
      <x v="21"/>
    </i>
    <i r="1">
      <x v="24"/>
    </i>
    <i>
      <x v="77"/>
    </i>
    <i r="1">
      <x v="21"/>
    </i>
    <i r="1">
      <x v="24"/>
    </i>
    <i>
      <x v="78"/>
    </i>
    <i r="1">
      <x v="21"/>
    </i>
    <i r="1">
      <x v="24"/>
    </i>
    <i r="1">
      <x v="27"/>
    </i>
    <i>
      <x v="79"/>
    </i>
    <i r="1">
      <x v="21"/>
    </i>
    <i r="1">
      <x v="27"/>
    </i>
    <i>
      <x v="80"/>
    </i>
    <i r="1">
      <x v="21"/>
    </i>
    <i r="1">
      <x v="27"/>
    </i>
    <i>
      <x v="81"/>
    </i>
    <i r="1">
      <x v="3"/>
    </i>
    <i r="1">
      <x v="21"/>
    </i>
    <i r="1">
      <x v="27"/>
    </i>
    <i>
      <x v="82"/>
    </i>
    <i r="1">
      <x v="3"/>
    </i>
    <i r="1">
      <x v="27"/>
    </i>
    <i>
      <x v="83"/>
    </i>
    <i r="1">
      <x v="3"/>
    </i>
    <i r="1">
      <x v="27"/>
    </i>
    <i t="grand">
      <x/>
    </i>
  </rowItems>
  <colItems count="1">
    <i/>
  </colItems>
  <dataFields count="1">
    <dataField name="Sum of Revenue ($)"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027E401-28C4-4DBC-97E5-902B09CD0E4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10:B17" firstHeaderRow="1" firstDataRow="1" firstDataCol="1"/>
  <pivotFields count="11">
    <pivotField showAll="0"/>
    <pivotField showAll="0">
      <items count="85">
        <item x="83"/>
        <item x="29"/>
        <item x="59"/>
        <item x="5"/>
        <item x="35"/>
        <item x="65"/>
        <item x="11"/>
        <item x="41"/>
        <item x="71"/>
        <item x="17"/>
        <item x="47"/>
        <item x="77"/>
        <item x="23"/>
        <item x="53"/>
        <item x="0"/>
        <item x="30"/>
        <item x="60"/>
        <item x="6"/>
        <item x="36"/>
        <item x="66"/>
        <item x="12"/>
        <item x="42"/>
        <item x="72"/>
        <item x="18"/>
        <item x="48"/>
        <item x="78"/>
        <item x="24"/>
        <item x="54"/>
        <item x="55"/>
        <item x="1"/>
        <item x="31"/>
        <item x="61"/>
        <item x="7"/>
        <item x="37"/>
        <item x="67"/>
        <item x="13"/>
        <item x="43"/>
        <item x="73"/>
        <item x="19"/>
        <item x="49"/>
        <item x="79"/>
        <item x="25"/>
        <item x="56"/>
        <item x="2"/>
        <item x="32"/>
        <item x="62"/>
        <item x="8"/>
        <item x="38"/>
        <item x="68"/>
        <item x="14"/>
        <item x="44"/>
        <item x="74"/>
        <item x="20"/>
        <item x="50"/>
        <item x="80"/>
        <item x="26"/>
        <item x="27"/>
        <item x="57"/>
        <item x="3"/>
        <item x="33"/>
        <item x="63"/>
        <item x="9"/>
        <item x="39"/>
        <item x="69"/>
        <item x="15"/>
        <item x="45"/>
        <item x="75"/>
        <item x="21"/>
        <item x="51"/>
        <item x="81"/>
        <item x="28"/>
        <item x="58"/>
        <item x="4"/>
        <item x="34"/>
        <item x="64"/>
        <item x="10"/>
        <item x="40"/>
        <item x="70"/>
        <item x="16"/>
        <item x="46"/>
        <item x="76"/>
        <item x="22"/>
        <item x="52"/>
        <item x="82"/>
        <item t="default"/>
      </items>
    </pivotField>
    <pivotField axis="axisRow" showAll="0">
      <items count="7">
        <item x="5"/>
        <item x="0"/>
        <item x="1"/>
        <item x="2"/>
        <item x="3"/>
        <item x="4"/>
        <item t="default"/>
      </items>
    </pivotField>
    <pivotField showAll="0"/>
    <pivotField showAll="0">
      <items count="5">
        <item x="1"/>
        <item x="3"/>
        <item x="0"/>
        <item x="2"/>
        <item t="default"/>
      </items>
    </pivotField>
    <pivotField showAll="0">
      <items count="6">
        <item x="2"/>
        <item x="0"/>
        <item x="4"/>
        <item x="1"/>
        <item x="3"/>
        <item t="default"/>
      </items>
    </pivotField>
    <pivotField showAll="0"/>
    <pivotField showAll="0"/>
    <pivotField showAll="0"/>
    <pivotField dataField="1" showAll="0"/>
    <pivotField showAll="0"/>
  </pivotFields>
  <rowFields count="1">
    <field x="2"/>
  </rowFields>
  <rowItems count="7">
    <i>
      <x/>
    </i>
    <i>
      <x v="1"/>
    </i>
    <i>
      <x v="2"/>
    </i>
    <i>
      <x v="3"/>
    </i>
    <i>
      <x v="4"/>
    </i>
    <i>
      <x v="5"/>
    </i>
    <i t="grand">
      <x/>
    </i>
  </rowItems>
  <colItems count="1">
    <i/>
  </colItems>
  <dataFields count="1">
    <dataField name="Sum of Revenue ($)" fld="9" baseField="0" baseItem="0"/>
  </dataFields>
  <chartFormats count="56">
    <chartFormat chart="17" format="14" series="1">
      <pivotArea type="data" outline="0" fieldPosition="0">
        <references count="1">
          <reference field="4294967294" count="1" selected="0">
            <x v="0"/>
          </reference>
        </references>
      </pivotArea>
    </chartFormat>
    <chartFormat chart="17" format="15">
      <pivotArea type="data" outline="0" fieldPosition="0">
        <references count="2">
          <reference field="4294967294" count="1" selected="0">
            <x v="0"/>
          </reference>
          <reference field="2" count="1" selected="0">
            <x v="0"/>
          </reference>
        </references>
      </pivotArea>
    </chartFormat>
    <chartFormat chart="17" format="16">
      <pivotArea type="data" outline="0" fieldPosition="0">
        <references count="2">
          <reference field="4294967294" count="1" selected="0">
            <x v="0"/>
          </reference>
          <reference field="2" count="1" selected="0">
            <x v="1"/>
          </reference>
        </references>
      </pivotArea>
    </chartFormat>
    <chartFormat chart="17" format="17">
      <pivotArea type="data" outline="0" fieldPosition="0">
        <references count="2">
          <reference field="4294967294" count="1" selected="0">
            <x v="0"/>
          </reference>
          <reference field="2" count="1" selected="0">
            <x v="2"/>
          </reference>
        </references>
      </pivotArea>
    </chartFormat>
    <chartFormat chart="17" format="18">
      <pivotArea type="data" outline="0" fieldPosition="0">
        <references count="2">
          <reference field="4294967294" count="1" selected="0">
            <x v="0"/>
          </reference>
          <reference field="2" count="1" selected="0">
            <x v="3"/>
          </reference>
        </references>
      </pivotArea>
    </chartFormat>
    <chartFormat chart="17" format="19">
      <pivotArea type="data" outline="0" fieldPosition="0">
        <references count="2">
          <reference field="4294967294" count="1" selected="0">
            <x v="0"/>
          </reference>
          <reference field="2" count="1" selected="0">
            <x v="4"/>
          </reference>
        </references>
      </pivotArea>
    </chartFormat>
    <chartFormat chart="17" format="20">
      <pivotArea type="data" outline="0" fieldPosition="0">
        <references count="2">
          <reference field="4294967294" count="1" selected="0">
            <x v="0"/>
          </reference>
          <reference field="2" count="1" selected="0">
            <x v="5"/>
          </reference>
        </references>
      </pivotArea>
    </chartFormat>
    <chartFormat chart="18" format="14" series="1">
      <pivotArea type="data" outline="0" fieldPosition="0">
        <references count="1">
          <reference field="4294967294" count="1" selected="0">
            <x v="0"/>
          </reference>
        </references>
      </pivotArea>
    </chartFormat>
    <chartFormat chart="18" format="15">
      <pivotArea type="data" outline="0" fieldPosition="0">
        <references count="2">
          <reference field="4294967294" count="1" selected="0">
            <x v="0"/>
          </reference>
          <reference field="2" count="1" selected="0">
            <x v="0"/>
          </reference>
        </references>
      </pivotArea>
    </chartFormat>
    <chartFormat chart="18" format="16">
      <pivotArea type="data" outline="0" fieldPosition="0">
        <references count="2">
          <reference field="4294967294" count="1" selected="0">
            <x v="0"/>
          </reference>
          <reference field="2" count="1" selected="0">
            <x v="1"/>
          </reference>
        </references>
      </pivotArea>
    </chartFormat>
    <chartFormat chart="18" format="17">
      <pivotArea type="data" outline="0" fieldPosition="0">
        <references count="2">
          <reference field="4294967294" count="1" selected="0">
            <x v="0"/>
          </reference>
          <reference field="2" count="1" selected="0">
            <x v="2"/>
          </reference>
        </references>
      </pivotArea>
    </chartFormat>
    <chartFormat chart="18" format="18">
      <pivotArea type="data" outline="0" fieldPosition="0">
        <references count="2">
          <reference field="4294967294" count="1" selected="0">
            <x v="0"/>
          </reference>
          <reference field="2" count="1" selected="0">
            <x v="3"/>
          </reference>
        </references>
      </pivotArea>
    </chartFormat>
    <chartFormat chart="18" format="19">
      <pivotArea type="data" outline="0" fieldPosition="0">
        <references count="2">
          <reference field="4294967294" count="1" selected="0">
            <x v="0"/>
          </reference>
          <reference field="2" count="1" selected="0">
            <x v="4"/>
          </reference>
        </references>
      </pivotArea>
    </chartFormat>
    <chartFormat chart="18" format="20">
      <pivotArea type="data" outline="0" fieldPosition="0">
        <references count="2">
          <reference field="4294967294" count="1" selected="0">
            <x v="0"/>
          </reference>
          <reference field="2" count="1" selected="0">
            <x v="5"/>
          </reference>
        </references>
      </pivotArea>
    </chartFormat>
    <chartFormat chart="25" format="21" series="1">
      <pivotArea type="data" outline="0" fieldPosition="0">
        <references count="1">
          <reference field="4294967294" count="1" selected="0">
            <x v="0"/>
          </reference>
        </references>
      </pivotArea>
    </chartFormat>
    <chartFormat chart="25" format="22">
      <pivotArea type="data" outline="0" fieldPosition="0">
        <references count="2">
          <reference field="4294967294" count="1" selected="0">
            <x v="0"/>
          </reference>
          <reference field="2" count="1" selected="0">
            <x v="0"/>
          </reference>
        </references>
      </pivotArea>
    </chartFormat>
    <chartFormat chart="25" format="23">
      <pivotArea type="data" outline="0" fieldPosition="0">
        <references count="2">
          <reference field="4294967294" count="1" selected="0">
            <x v="0"/>
          </reference>
          <reference field="2" count="1" selected="0">
            <x v="1"/>
          </reference>
        </references>
      </pivotArea>
    </chartFormat>
    <chartFormat chart="25" format="24">
      <pivotArea type="data" outline="0" fieldPosition="0">
        <references count="2">
          <reference field="4294967294" count="1" selected="0">
            <x v="0"/>
          </reference>
          <reference field="2" count="1" selected="0">
            <x v="2"/>
          </reference>
        </references>
      </pivotArea>
    </chartFormat>
    <chartFormat chart="25" format="25">
      <pivotArea type="data" outline="0" fieldPosition="0">
        <references count="2">
          <reference field="4294967294" count="1" selected="0">
            <x v="0"/>
          </reference>
          <reference field="2" count="1" selected="0">
            <x v="3"/>
          </reference>
        </references>
      </pivotArea>
    </chartFormat>
    <chartFormat chart="25" format="26">
      <pivotArea type="data" outline="0" fieldPosition="0">
        <references count="2">
          <reference field="4294967294" count="1" selected="0">
            <x v="0"/>
          </reference>
          <reference field="2" count="1" selected="0">
            <x v="4"/>
          </reference>
        </references>
      </pivotArea>
    </chartFormat>
    <chartFormat chart="25" format="27">
      <pivotArea type="data" outline="0" fieldPosition="0">
        <references count="2">
          <reference field="4294967294" count="1" selected="0">
            <x v="0"/>
          </reference>
          <reference field="2" count="1" selected="0">
            <x v="5"/>
          </reference>
        </references>
      </pivotArea>
    </chartFormat>
    <chartFormat chart="26" format="28" series="1">
      <pivotArea type="data" outline="0" fieldPosition="0">
        <references count="1">
          <reference field="4294967294" count="1" selected="0">
            <x v="0"/>
          </reference>
        </references>
      </pivotArea>
    </chartFormat>
    <chartFormat chart="26" format="29">
      <pivotArea type="data" outline="0" fieldPosition="0">
        <references count="2">
          <reference field="4294967294" count="1" selected="0">
            <x v="0"/>
          </reference>
          <reference field="2" count="1" selected="0">
            <x v="0"/>
          </reference>
        </references>
      </pivotArea>
    </chartFormat>
    <chartFormat chart="26" format="30">
      <pivotArea type="data" outline="0" fieldPosition="0">
        <references count="2">
          <reference field="4294967294" count="1" selected="0">
            <x v="0"/>
          </reference>
          <reference field="2" count="1" selected="0">
            <x v="1"/>
          </reference>
        </references>
      </pivotArea>
    </chartFormat>
    <chartFormat chart="26" format="31">
      <pivotArea type="data" outline="0" fieldPosition="0">
        <references count="2">
          <reference field="4294967294" count="1" selected="0">
            <x v="0"/>
          </reference>
          <reference field="2" count="1" selected="0">
            <x v="2"/>
          </reference>
        </references>
      </pivotArea>
    </chartFormat>
    <chartFormat chart="26" format="32">
      <pivotArea type="data" outline="0" fieldPosition="0">
        <references count="2">
          <reference field="4294967294" count="1" selected="0">
            <x v="0"/>
          </reference>
          <reference field="2" count="1" selected="0">
            <x v="3"/>
          </reference>
        </references>
      </pivotArea>
    </chartFormat>
    <chartFormat chart="26" format="33">
      <pivotArea type="data" outline="0" fieldPosition="0">
        <references count="2">
          <reference field="4294967294" count="1" selected="0">
            <x v="0"/>
          </reference>
          <reference field="2" count="1" selected="0">
            <x v="4"/>
          </reference>
        </references>
      </pivotArea>
    </chartFormat>
    <chartFormat chart="26" format="34">
      <pivotArea type="data" outline="0" fieldPosition="0">
        <references count="2">
          <reference field="4294967294" count="1" selected="0">
            <x v="0"/>
          </reference>
          <reference field="2" count="1" selected="0">
            <x v="5"/>
          </reference>
        </references>
      </pivotArea>
    </chartFormat>
    <chartFormat chart="27" format="35" series="1">
      <pivotArea type="data" outline="0" fieldPosition="0">
        <references count="1">
          <reference field="4294967294" count="1" selected="0">
            <x v="0"/>
          </reference>
        </references>
      </pivotArea>
    </chartFormat>
    <chartFormat chart="27" format="36">
      <pivotArea type="data" outline="0" fieldPosition="0">
        <references count="2">
          <reference field="4294967294" count="1" selected="0">
            <x v="0"/>
          </reference>
          <reference field="2" count="1" selected="0">
            <x v="0"/>
          </reference>
        </references>
      </pivotArea>
    </chartFormat>
    <chartFormat chart="27" format="37">
      <pivotArea type="data" outline="0" fieldPosition="0">
        <references count="2">
          <reference field="4294967294" count="1" selected="0">
            <x v="0"/>
          </reference>
          <reference field="2" count="1" selected="0">
            <x v="1"/>
          </reference>
        </references>
      </pivotArea>
    </chartFormat>
    <chartFormat chart="27" format="38">
      <pivotArea type="data" outline="0" fieldPosition="0">
        <references count="2">
          <reference field="4294967294" count="1" selected="0">
            <x v="0"/>
          </reference>
          <reference field="2" count="1" selected="0">
            <x v="2"/>
          </reference>
        </references>
      </pivotArea>
    </chartFormat>
    <chartFormat chart="27" format="39">
      <pivotArea type="data" outline="0" fieldPosition="0">
        <references count="2">
          <reference field="4294967294" count="1" selected="0">
            <x v="0"/>
          </reference>
          <reference field="2" count="1" selected="0">
            <x v="3"/>
          </reference>
        </references>
      </pivotArea>
    </chartFormat>
    <chartFormat chart="27" format="40">
      <pivotArea type="data" outline="0" fieldPosition="0">
        <references count="2">
          <reference field="4294967294" count="1" selected="0">
            <x v="0"/>
          </reference>
          <reference field="2" count="1" selected="0">
            <x v="4"/>
          </reference>
        </references>
      </pivotArea>
    </chartFormat>
    <chartFormat chart="27" format="41">
      <pivotArea type="data" outline="0" fieldPosition="0">
        <references count="2">
          <reference field="4294967294" count="1" selected="0">
            <x v="0"/>
          </reference>
          <reference field="2" count="1" selected="0">
            <x v="5"/>
          </reference>
        </references>
      </pivotArea>
    </chartFormat>
    <chartFormat chart="29" format="28" series="1">
      <pivotArea type="data" outline="0" fieldPosition="0">
        <references count="1">
          <reference field="4294967294" count="1" selected="0">
            <x v="0"/>
          </reference>
        </references>
      </pivotArea>
    </chartFormat>
    <chartFormat chart="29" format="29">
      <pivotArea type="data" outline="0" fieldPosition="0">
        <references count="2">
          <reference field="4294967294" count="1" selected="0">
            <x v="0"/>
          </reference>
          <reference field="2" count="1" selected="0">
            <x v="0"/>
          </reference>
        </references>
      </pivotArea>
    </chartFormat>
    <chartFormat chart="29" format="30">
      <pivotArea type="data" outline="0" fieldPosition="0">
        <references count="2">
          <reference field="4294967294" count="1" selected="0">
            <x v="0"/>
          </reference>
          <reference field="2" count="1" selected="0">
            <x v="1"/>
          </reference>
        </references>
      </pivotArea>
    </chartFormat>
    <chartFormat chart="29" format="31">
      <pivotArea type="data" outline="0" fieldPosition="0">
        <references count="2">
          <reference field="4294967294" count="1" selected="0">
            <x v="0"/>
          </reference>
          <reference field="2" count="1" selected="0">
            <x v="2"/>
          </reference>
        </references>
      </pivotArea>
    </chartFormat>
    <chartFormat chart="29" format="32">
      <pivotArea type="data" outline="0" fieldPosition="0">
        <references count="2">
          <reference field="4294967294" count="1" selected="0">
            <x v="0"/>
          </reference>
          <reference field="2" count="1" selected="0">
            <x v="3"/>
          </reference>
        </references>
      </pivotArea>
    </chartFormat>
    <chartFormat chart="29" format="33">
      <pivotArea type="data" outline="0" fieldPosition="0">
        <references count="2">
          <reference field="4294967294" count="1" selected="0">
            <x v="0"/>
          </reference>
          <reference field="2" count="1" selected="0">
            <x v="4"/>
          </reference>
        </references>
      </pivotArea>
    </chartFormat>
    <chartFormat chart="29" format="34">
      <pivotArea type="data" outline="0" fieldPosition="0">
        <references count="2">
          <reference field="4294967294" count="1" selected="0">
            <x v="0"/>
          </reference>
          <reference field="2" count="1" selected="0">
            <x v="5"/>
          </reference>
        </references>
      </pivotArea>
    </chartFormat>
    <chartFormat chart="32" format="35" series="1">
      <pivotArea type="data" outline="0" fieldPosition="0">
        <references count="1">
          <reference field="4294967294" count="1" selected="0">
            <x v="0"/>
          </reference>
        </references>
      </pivotArea>
    </chartFormat>
    <chartFormat chart="32" format="36">
      <pivotArea type="data" outline="0" fieldPosition="0">
        <references count="2">
          <reference field="4294967294" count="1" selected="0">
            <x v="0"/>
          </reference>
          <reference field="2" count="1" selected="0">
            <x v="0"/>
          </reference>
        </references>
      </pivotArea>
    </chartFormat>
    <chartFormat chart="32" format="37">
      <pivotArea type="data" outline="0" fieldPosition="0">
        <references count="2">
          <reference field="4294967294" count="1" selected="0">
            <x v="0"/>
          </reference>
          <reference field="2" count="1" selected="0">
            <x v="1"/>
          </reference>
        </references>
      </pivotArea>
    </chartFormat>
    <chartFormat chart="32" format="38">
      <pivotArea type="data" outline="0" fieldPosition="0">
        <references count="2">
          <reference field="4294967294" count="1" selected="0">
            <x v="0"/>
          </reference>
          <reference field="2" count="1" selected="0">
            <x v="2"/>
          </reference>
        </references>
      </pivotArea>
    </chartFormat>
    <chartFormat chart="32" format="39">
      <pivotArea type="data" outline="0" fieldPosition="0">
        <references count="2">
          <reference field="4294967294" count="1" selected="0">
            <x v="0"/>
          </reference>
          <reference field="2" count="1" selected="0">
            <x v="3"/>
          </reference>
        </references>
      </pivotArea>
    </chartFormat>
    <chartFormat chart="32" format="40">
      <pivotArea type="data" outline="0" fieldPosition="0">
        <references count="2">
          <reference field="4294967294" count="1" selected="0">
            <x v="0"/>
          </reference>
          <reference field="2" count="1" selected="0">
            <x v="4"/>
          </reference>
        </references>
      </pivotArea>
    </chartFormat>
    <chartFormat chart="32" format="41">
      <pivotArea type="data" outline="0" fieldPosition="0">
        <references count="2">
          <reference field="4294967294" count="1" selected="0">
            <x v="0"/>
          </reference>
          <reference field="2" count="1" selected="0">
            <x v="5"/>
          </reference>
        </references>
      </pivotArea>
    </chartFormat>
    <chartFormat chart="33" format="42" series="1">
      <pivotArea type="data" outline="0" fieldPosition="0">
        <references count="1">
          <reference field="4294967294" count="1" selected="0">
            <x v="0"/>
          </reference>
        </references>
      </pivotArea>
    </chartFormat>
    <chartFormat chart="33" format="43">
      <pivotArea type="data" outline="0" fieldPosition="0">
        <references count="2">
          <reference field="4294967294" count="1" selected="0">
            <x v="0"/>
          </reference>
          <reference field="2" count="1" selected="0">
            <x v="0"/>
          </reference>
        </references>
      </pivotArea>
    </chartFormat>
    <chartFormat chart="33" format="44">
      <pivotArea type="data" outline="0" fieldPosition="0">
        <references count="2">
          <reference field="4294967294" count="1" selected="0">
            <x v="0"/>
          </reference>
          <reference field="2" count="1" selected="0">
            <x v="1"/>
          </reference>
        </references>
      </pivotArea>
    </chartFormat>
    <chartFormat chart="33" format="45">
      <pivotArea type="data" outline="0" fieldPosition="0">
        <references count="2">
          <reference field="4294967294" count="1" selected="0">
            <x v="0"/>
          </reference>
          <reference field="2" count="1" selected="0">
            <x v="2"/>
          </reference>
        </references>
      </pivotArea>
    </chartFormat>
    <chartFormat chart="33" format="46">
      <pivotArea type="data" outline="0" fieldPosition="0">
        <references count="2">
          <reference field="4294967294" count="1" selected="0">
            <x v="0"/>
          </reference>
          <reference field="2" count="1" selected="0">
            <x v="3"/>
          </reference>
        </references>
      </pivotArea>
    </chartFormat>
    <chartFormat chart="33" format="47">
      <pivotArea type="data" outline="0" fieldPosition="0">
        <references count="2">
          <reference field="4294967294" count="1" selected="0">
            <x v="0"/>
          </reference>
          <reference field="2" count="1" selected="0">
            <x v="4"/>
          </reference>
        </references>
      </pivotArea>
    </chartFormat>
    <chartFormat chart="33" format="48">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DA0FD8C-E4E6-4C60-9872-599A3F2299E7}"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68:E81" firstHeaderRow="1" firstDataRow="1" firstDataCol="1"/>
  <pivotFields count="11">
    <pivotField showAll="0"/>
    <pivotField showAll="0"/>
    <pivotField axis="axisRow" showAll="0">
      <items count="7">
        <item x="5"/>
        <item x="0"/>
        <item x="1"/>
        <item x="2"/>
        <item x="3"/>
        <item x="4"/>
        <item t="default"/>
      </items>
    </pivotField>
    <pivotField showAll="0"/>
    <pivotField showAll="0">
      <items count="5">
        <item x="1"/>
        <item x="3"/>
        <item x="0"/>
        <item x="2"/>
        <item t="default"/>
      </items>
    </pivotField>
    <pivotField showAll="0">
      <items count="6">
        <item x="2"/>
        <item x="0"/>
        <item x="4"/>
        <item x="1"/>
        <item x="3"/>
        <item t="default"/>
      </items>
    </pivotField>
    <pivotField showAll="0"/>
    <pivotField showAll="0"/>
    <pivotField showAll="0"/>
    <pivotField showAll="0"/>
    <pivotField axis="axisRow" dataField="1" showAll="0">
      <items count="4">
        <item x="1"/>
        <item x="2"/>
        <item x="0"/>
        <item t="default"/>
      </items>
    </pivotField>
  </pivotFields>
  <rowFields count="2">
    <field x="2"/>
    <field x="10"/>
  </rowFields>
  <rowItems count="13">
    <i>
      <x/>
    </i>
    <i r="1">
      <x v="1"/>
    </i>
    <i>
      <x v="1"/>
    </i>
    <i r="1">
      <x v="2"/>
    </i>
    <i>
      <x v="2"/>
    </i>
    <i r="1">
      <x/>
    </i>
    <i>
      <x v="3"/>
    </i>
    <i r="1">
      <x v="1"/>
    </i>
    <i>
      <x v="4"/>
    </i>
    <i r="1">
      <x v="2"/>
    </i>
    <i>
      <x v="5"/>
    </i>
    <i r="1">
      <x/>
    </i>
    <i t="grand">
      <x/>
    </i>
  </rowItems>
  <colItems count="1">
    <i/>
  </colItems>
  <dataFields count="1">
    <dataField name="Count of Customer Segment"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CD242CD-ADC9-413C-AC65-FAB571290CD2}" name="PivotTable1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64:B68" firstHeaderRow="1" firstDataRow="1" firstDataCol="1"/>
  <pivotFields count="11">
    <pivotField showAll="0"/>
    <pivotField showAll="0"/>
    <pivotField showAll="0">
      <items count="7">
        <item x="5"/>
        <item x="0"/>
        <item x="1"/>
        <item x="2"/>
        <item x="3"/>
        <item x="4"/>
        <item t="default"/>
      </items>
    </pivotField>
    <pivotField showAll="0"/>
    <pivotField showAll="0">
      <items count="5">
        <item x="1"/>
        <item x="3"/>
        <item x="0"/>
        <item x="2"/>
        <item t="default"/>
      </items>
    </pivotField>
    <pivotField showAll="0">
      <items count="6">
        <item x="2"/>
        <item x="0"/>
        <item x="4"/>
        <item x="1"/>
        <item x="3"/>
        <item t="default"/>
      </items>
    </pivotField>
    <pivotField dataField="1" showAll="0">
      <items count="31">
        <item x="25"/>
        <item x="14"/>
        <item x="18"/>
        <item x="22"/>
        <item x="9"/>
        <item x="12"/>
        <item x="11"/>
        <item x="17"/>
        <item x="28"/>
        <item x="13"/>
        <item x="1"/>
        <item x="29"/>
        <item x="15"/>
        <item x="21"/>
        <item x="6"/>
        <item x="0"/>
        <item x="7"/>
        <item x="24"/>
        <item x="5"/>
        <item x="26"/>
        <item x="23"/>
        <item x="10"/>
        <item x="19"/>
        <item x="27"/>
        <item x="4"/>
        <item x="2"/>
        <item x="3"/>
        <item x="16"/>
        <item x="8"/>
        <item x="20"/>
        <item t="default"/>
      </items>
    </pivotField>
    <pivotField showAll="0"/>
    <pivotField showAll="0"/>
    <pivotField showAll="0"/>
    <pivotField axis="axisRow" showAll="0">
      <items count="4">
        <item x="1"/>
        <item x="2"/>
        <item x="0"/>
        <item t="default"/>
      </items>
    </pivotField>
  </pivotFields>
  <rowFields count="1">
    <field x="10"/>
  </rowFields>
  <rowItems count="4">
    <i>
      <x/>
    </i>
    <i>
      <x v="1"/>
    </i>
    <i>
      <x v="2"/>
    </i>
    <i t="grand">
      <x/>
    </i>
  </rowItems>
  <colItems count="1">
    <i/>
  </colItems>
  <dataFields count="1">
    <dataField name="Count of Product"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6550CBE-4E44-4FA4-B1BC-A3925228301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C3:D8" firstHeaderRow="1" firstDataRow="1" firstDataCol="1"/>
  <pivotFields count="11">
    <pivotField showAll="0"/>
    <pivotField showAll="0"/>
    <pivotField showAll="0">
      <items count="7">
        <item x="5"/>
        <item x="0"/>
        <item x="1"/>
        <item x="2"/>
        <item x="3"/>
        <item x="4"/>
        <item t="default"/>
      </items>
    </pivotField>
    <pivotField showAll="0"/>
    <pivotField axis="axisRow" showAll="0" sortType="ascending">
      <items count="5">
        <item x="2"/>
        <item x="0"/>
        <item x="3"/>
        <item x="1"/>
        <item t="default"/>
      </items>
      <autoSortScope>
        <pivotArea dataOnly="0" outline="0" fieldPosition="0">
          <references count="1">
            <reference field="4294967294" count="1" selected="0">
              <x v="0"/>
            </reference>
          </references>
        </pivotArea>
      </autoSortScope>
    </pivotField>
    <pivotField showAll="0">
      <items count="6">
        <item x="2"/>
        <item x="0"/>
        <item x="4"/>
        <item x="1"/>
        <item x="3"/>
        <item t="default"/>
      </items>
    </pivotField>
    <pivotField showAll="0"/>
    <pivotField showAll="0">
      <items count="4">
        <item x="0"/>
        <item x="1"/>
        <item x="2"/>
        <item t="default"/>
      </items>
    </pivotField>
    <pivotField showAll="0"/>
    <pivotField dataField="1" showAll="0"/>
    <pivotField showAll="0">
      <items count="4">
        <item x="1"/>
        <item x="2"/>
        <item x="0"/>
        <item t="default"/>
      </items>
    </pivotField>
  </pivotFields>
  <rowFields count="1">
    <field x="4"/>
  </rowFields>
  <rowItems count="5">
    <i>
      <x/>
    </i>
    <i>
      <x v="1"/>
    </i>
    <i>
      <x v="3"/>
    </i>
    <i>
      <x v="2"/>
    </i>
    <i t="grand">
      <x/>
    </i>
  </rowItems>
  <colItems count="1">
    <i/>
  </colItems>
  <dataFields count="1">
    <dataField name="Sum of Revenue ($)" fld="9" baseField="0" baseItem="0"/>
  </dataFields>
  <chartFormats count="35">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4" count="1" selected="0">
            <x v="0"/>
          </reference>
        </references>
      </pivotArea>
    </chartFormat>
    <chartFormat chart="4" format="12">
      <pivotArea type="data" outline="0" fieldPosition="0">
        <references count="2">
          <reference field="4294967294" count="1" selected="0">
            <x v="0"/>
          </reference>
          <reference field="4" count="1" selected="0">
            <x v="1"/>
          </reference>
        </references>
      </pivotArea>
    </chartFormat>
    <chartFormat chart="4" format="13">
      <pivotArea type="data" outline="0" fieldPosition="0">
        <references count="2">
          <reference field="4294967294" count="1" selected="0">
            <x v="0"/>
          </reference>
          <reference field="4" count="1" selected="0">
            <x v="3"/>
          </reference>
        </references>
      </pivotArea>
    </chartFormat>
    <chartFormat chart="4" format="14">
      <pivotArea type="data" outline="0" fieldPosition="0">
        <references count="2">
          <reference field="4294967294" count="1" selected="0">
            <x v="0"/>
          </reference>
          <reference field="4" count="1" selected="0">
            <x v="2"/>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4" count="1" selected="0">
            <x v="0"/>
          </reference>
        </references>
      </pivotArea>
    </chartFormat>
    <chartFormat chart="5" format="12">
      <pivotArea type="data" outline="0" fieldPosition="0">
        <references count="2">
          <reference field="4294967294" count="1" selected="0">
            <x v="0"/>
          </reference>
          <reference field="4" count="1" selected="0">
            <x v="1"/>
          </reference>
        </references>
      </pivotArea>
    </chartFormat>
    <chartFormat chart="5" format="13">
      <pivotArea type="data" outline="0" fieldPosition="0">
        <references count="2">
          <reference field="4294967294" count="1" selected="0">
            <x v="0"/>
          </reference>
          <reference field="4" count="1" selected="0">
            <x v="3"/>
          </reference>
        </references>
      </pivotArea>
    </chartFormat>
    <chartFormat chart="5" format="14">
      <pivotArea type="data" outline="0" fieldPosition="0">
        <references count="2">
          <reference field="4294967294" count="1" selected="0">
            <x v="0"/>
          </reference>
          <reference field="4" count="1" selected="0">
            <x v="2"/>
          </reference>
        </references>
      </pivotArea>
    </chartFormat>
    <chartFormat chart="20" format="20" series="1">
      <pivotArea type="data" outline="0" fieldPosition="0">
        <references count="1">
          <reference field="4294967294" count="1" selected="0">
            <x v="0"/>
          </reference>
        </references>
      </pivotArea>
    </chartFormat>
    <chartFormat chart="20" format="21">
      <pivotArea type="data" outline="0" fieldPosition="0">
        <references count="2">
          <reference field="4294967294" count="1" selected="0">
            <x v="0"/>
          </reference>
          <reference field="4" count="1" selected="0">
            <x v="0"/>
          </reference>
        </references>
      </pivotArea>
    </chartFormat>
    <chartFormat chart="20" format="22">
      <pivotArea type="data" outline="0" fieldPosition="0">
        <references count="2">
          <reference field="4294967294" count="1" selected="0">
            <x v="0"/>
          </reference>
          <reference field="4" count="1" selected="0">
            <x v="1"/>
          </reference>
        </references>
      </pivotArea>
    </chartFormat>
    <chartFormat chart="20" format="23">
      <pivotArea type="data" outline="0" fieldPosition="0">
        <references count="2">
          <reference field="4294967294" count="1" selected="0">
            <x v="0"/>
          </reference>
          <reference field="4" count="1" selected="0">
            <x v="3"/>
          </reference>
        </references>
      </pivotArea>
    </chartFormat>
    <chartFormat chart="20" format="24">
      <pivotArea type="data" outline="0" fieldPosition="0">
        <references count="2">
          <reference field="4294967294" count="1" selected="0">
            <x v="0"/>
          </reference>
          <reference field="4" count="1" selected="0">
            <x v="2"/>
          </reference>
        </references>
      </pivotArea>
    </chartFormat>
    <chartFormat chart="21" format="25" series="1">
      <pivotArea type="data" outline="0" fieldPosition="0">
        <references count="1">
          <reference field="4294967294" count="1" selected="0">
            <x v="0"/>
          </reference>
        </references>
      </pivotArea>
    </chartFormat>
    <chartFormat chart="21" format="26">
      <pivotArea type="data" outline="0" fieldPosition="0">
        <references count="2">
          <reference field="4294967294" count="1" selected="0">
            <x v="0"/>
          </reference>
          <reference field="4" count="1" selected="0">
            <x v="0"/>
          </reference>
        </references>
      </pivotArea>
    </chartFormat>
    <chartFormat chart="21" format="27">
      <pivotArea type="data" outline="0" fieldPosition="0">
        <references count="2">
          <reference field="4294967294" count="1" selected="0">
            <x v="0"/>
          </reference>
          <reference field="4" count="1" selected="0">
            <x v="1"/>
          </reference>
        </references>
      </pivotArea>
    </chartFormat>
    <chartFormat chart="21" format="28">
      <pivotArea type="data" outline="0" fieldPosition="0">
        <references count="2">
          <reference field="4294967294" count="1" selected="0">
            <x v="0"/>
          </reference>
          <reference field="4" count="1" selected="0">
            <x v="3"/>
          </reference>
        </references>
      </pivotArea>
    </chartFormat>
    <chartFormat chart="21" format="29">
      <pivotArea type="data" outline="0" fieldPosition="0">
        <references count="2">
          <reference field="4294967294" count="1" selected="0">
            <x v="0"/>
          </reference>
          <reference field="4" count="1" selected="0">
            <x v="2"/>
          </reference>
        </references>
      </pivotArea>
    </chartFormat>
    <chartFormat chart="23" format="20" series="1">
      <pivotArea type="data" outline="0" fieldPosition="0">
        <references count="1">
          <reference field="4294967294" count="1" selected="0">
            <x v="0"/>
          </reference>
        </references>
      </pivotArea>
    </chartFormat>
    <chartFormat chart="23" format="21">
      <pivotArea type="data" outline="0" fieldPosition="0">
        <references count="2">
          <reference field="4294967294" count="1" selected="0">
            <x v="0"/>
          </reference>
          <reference field="4" count="1" selected="0">
            <x v="0"/>
          </reference>
        </references>
      </pivotArea>
    </chartFormat>
    <chartFormat chart="23" format="22">
      <pivotArea type="data" outline="0" fieldPosition="0">
        <references count="2">
          <reference field="4294967294" count="1" selected="0">
            <x v="0"/>
          </reference>
          <reference field="4" count="1" selected="0">
            <x v="1"/>
          </reference>
        </references>
      </pivotArea>
    </chartFormat>
    <chartFormat chart="23" format="23">
      <pivotArea type="data" outline="0" fieldPosition="0">
        <references count="2">
          <reference field="4294967294" count="1" selected="0">
            <x v="0"/>
          </reference>
          <reference field="4" count="1" selected="0">
            <x v="3"/>
          </reference>
        </references>
      </pivotArea>
    </chartFormat>
    <chartFormat chart="23" format="24">
      <pivotArea type="data" outline="0" fieldPosition="0">
        <references count="2">
          <reference field="4294967294" count="1" selected="0">
            <x v="0"/>
          </reference>
          <reference field="4" count="1" selected="0">
            <x v="2"/>
          </reference>
        </references>
      </pivotArea>
    </chartFormat>
    <chartFormat chart="26" format="25" series="1">
      <pivotArea type="data" outline="0" fieldPosition="0">
        <references count="1">
          <reference field="4294967294" count="1" selected="0">
            <x v="0"/>
          </reference>
        </references>
      </pivotArea>
    </chartFormat>
    <chartFormat chart="26" format="26">
      <pivotArea type="data" outline="0" fieldPosition="0">
        <references count="2">
          <reference field="4294967294" count="1" selected="0">
            <x v="0"/>
          </reference>
          <reference field="4" count="1" selected="0">
            <x v="0"/>
          </reference>
        </references>
      </pivotArea>
    </chartFormat>
    <chartFormat chart="26" format="27">
      <pivotArea type="data" outline="0" fieldPosition="0">
        <references count="2">
          <reference field="4294967294" count="1" selected="0">
            <x v="0"/>
          </reference>
          <reference field="4" count="1" selected="0">
            <x v="1"/>
          </reference>
        </references>
      </pivotArea>
    </chartFormat>
    <chartFormat chart="26" format="28">
      <pivotArea type="data" outline="0" fieldPosition="0">
        <references count="2">
          <reference field="4294967294" count="1" selected="0">
            <x v="0"/>
          </reference>
          <reference field="4" count="1" selected="0">
            <x v="3"/>
          </reference>
        </references>
      </pivotArea>
    </chartFormat>
    <chartFormat chart="26" format="29">
      <pivotArea type="data" outline="0" fieldPosition="0">
        <references count="2">
          <reference field="4294967294" count="1" selected="0">
            <x v="0"/>
          </reference>
          <reference field="4" count="1" selected="0">
            <x v="2"/>
          </reference>
        </references>
      </pivotArea>
    </chartFormat>
    <chartFormat chart="27" format="30" series="1">
      <pivotArea type="data" outline="0" fieldPosition="0">
        <references count="1">
          <reference field="4294967294" count="1" selected="0">
            <x v="0"/>
          </reference>
        </references>
      </pivotArea>
    </chartFormat>
    <chartFormat chart="27" format="31">
      <pivotArea type="data" outline="0" fieldPosition="0">
        <references count="2">
          <reference field="4294967294" count="1" selected="0">
            <x v="0"/>
          </reference>
          <reference field="4" count="1" selected="0">
            <x v="0"/>
          </reference>
        </references>
      </pivotArea>
    </chartFormat>
    <chartFormat chart="27" format="32">
      <pivotArea type="data" outline="0" fieldPosition="0">
        <references count="2">
          <reference field="4294967294" count="1" selected="0">
            <x v="0"/>
          </reference>
          <reference field="4" count="1" selected="0">
            <x v="1"/>
          </reference>
        </references>
      </pivotArea>
    </chartFormat>
    <chartFormat chart="27" format="33">
      <pivotArea type="data" outline="0" fieldPosition="0">
        <references count="2">
          <reference field="4294967294" count="1" selected="0">
            <x v="0"/>
          </reference>
          <reference field="4" count="1" selected="0">
            <x v="3"/>
          </reference>
        </references>
      </pivotArea>
    </chartFormat>
    <chartFormat chart="27" format="34">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C7714F7-463B-4200-A0DE-93759667064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H19:I32" firstHeaderRow="1" firstDataRow="1" firstDataCol="1"/>
  <pivotFields count="11">
    <pivotField showAll="0"/>
    <pivotField showAll="0"/>
    <pivotField showAll="0">
      <items count="7">
        <item x="5"/>
        <item x="0"/>
        <item x="1"/>
        <item x="2"/>
        <item x="3"/>
        <item x="4"/>
        <item t="default"/>
      </items>
    </pivotField>
    <pivotField axis="axisRow" showAll="0">
      <items count="13">
        <item x="2"/>
        <item x="10"/>
        <item x="1"/>
        <item x="5"/>
        <item x="8"/>
        <item x="11"/>
        <item x="9"/>
        <item x="6"/>
        <item x="4"/>
        <item x="7"/>
        <item x="0"/>
        <item x="3"/>
        <item t="default"/>
      </items>
    </pivotField>
    <pivotField showAll="0">
      <items count="5">
        <item x="1"/>
        <item x="3"/>
        <item x="0"/>
        <item x="2"/>
        <item t="default"/>
      </items>
    </pivotField>
    <pivotField showAll="0">
      <items count="6">
        <item x="2"/>
        <item x="0"/>
        <item x="4"/>
        <item x="1"/>
        <item x="3"/>
        <item t="default"/>
      </items>
    </pivotField>
    <pivotField showAll="0"/>
    <pivotField showAll="0">
      <items count="4">
        <item x="0"/>
        <item x="1"/>
        <item x="2"/>
        <item t="default"/>
      </items>
    </pivotField>
    <pivotField showAll="0"/>
    <pivotField dataField="1" showAll="0">
      <items count="31">
        <item x="7"/>
        <item x="22"/>
        <item x="17"/>
        <item x="20"/>
        <item x="0"/>
        <item x="2"/>
        <item x="10"/>
        <item x="12"/>
        <item x="26"/>
        <item x="5"/>
        <item x="27"/>
        <item x="25"/>
        <item x="14"/>
        <item x="1"/>
        <item x="28"/>
        <item x="4"/>
        <item x="21"/>
        <item x="15"/>
        <item x="6"/>
        <item x="8"/>
        <item x="3"/>
        <item x="16"/>
        <item x="18"/>
        <item x="13"/>
        <item x="29"/>
        <item x="11"/>
        <item x="9"/>
        <item x="19"/>
        <item x="24"/>
        <item x="23"/>
        <item t="default"/>
      </items>
    </pivotField>
    <pivotField showAll="0"/>
  </pivotFields>
  <rowFields count="1">
    <field x="3"/>
  </rowFields>
  <rowItems count="13">
    <i>
      <x/>
    </i>
    <i>
      <x v="1"/>
    </i>
    <i>
      <x v="2"/>
    </i>
    <i>
      <x v="3"/>
    </i>
    <i>
      <x v="4"/>
    </i>
    <i>
      <x v="5"/>
    </i>
    <i>
      <x v="6"/>
    </i>
    <i>
      <x v="7"/>
    </i>
    <i>
      <x v="8"/>
    </i>
    <i>
      <x v="9"/>
    </i>
    <i>
      <x v="10"/>
    </i>
    <i>
      <x v="11"/>
    </i>
    <i t="grand">
      <x/>
    </i>
  </rowItems>
  <colItems count="1">
    <i/>
  </colItems>
  <dataFields count="1">
    <dataField name="Average of Revenue ($)" fld="9" subtotal="average" baseField="3" baseItem="0"/>
  </dataFields>
  <chartFormats count="2">
    <chartFormat chart="8" format="40" series="1">
      <pivotArea type="data" outline="0" fieldPosition="0">
        <references count="1">
          <reference field="4294967294" count="1" selected="0">
            <x v="0"/>
          </reference>
        </references>
      </pivotArea>
    </chartFormat>
    <chartFormat chart="9" format="4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3F68FAE-9946-4A9F-974F-9E3C64D42C58}" name="PivotTable10" cacheId="0"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chartFormat="44">
  <location ref="A19:E27" firstHeaderRow="1" firstDataRow="2" firstDataCol="1"/>
  <pivotFields count="11">
    <pivotField showAll="0"/>
    <pivotField showAll="0">
      <items count="85">
        <item x="83"/>
        <item x="29"/>
        <item x="59"/>
        <item x="5"/>
        <item x="35"/>
        <item x="65"/>
        <item x="11"/>
        <item x="41"/>
        <item x="71"/>
        <item x="17"/>
        <item x="47"/>
        <item x="77"/>
        <item x="23"/>
        <item x="53"/>
        <item x="0"/>
        <item x="30"/>
        <item x="60"/>
        <item x="6"/>
        <item x="36"/>
        <item x="66"/>
        <item x="12"/>
        <item x="42"/>
        <item x="72"/>
        <item x="18"/>
        <item x="48"/>
        <item x="78"/>
        <item x="24"/>
        <item x="54"/>
        <item x="55"/>
        <item x="1"/>
        <item x="31"/>
        <item x="61"/>
        <item x="7"/>
        <item x="37"/>
        <item x="67"/>
        <item x="13"/>
        <item x="43"/>
        <item x="73"/>
        <item x="19"/>
        <item x="49"/>
        <item x="79"/>
        <item x="25"/>
        <item x="56"/>
        <item x="2"/>
        <item x="32"/>
        <item x="62"/>
        <item x="8"/>
        <item x="38"/>
        <item x="68"/>
        <item x="14"/>
        <item x="44"/>
        <item x="74"/>
        <item x="20"/>
        <item x="50"/>
        <item x="80"/>
        <item x="26"/>
        <item x="27"/>
        <item x="57"/>
        <item x="3"/>
        <item x="33"/>
        <item x="63"/>
        <item x="9"/>
        <item x="39"/>
        <item x="69"/>
        <item x="15"/>
        <item x="45"/>
        <item x="75"/>
        <item x="21"/>
        <item x="51"/>
        <item x="81"/>
        <item x="28"/>
        <item x="58"/>
        <item x="4"/>
        <item x="34"/>
        <item x="64"/>
        <item x="10"/>
        <item x="40"/>
        <item x="70"/>
        <item x="16"/>
        <item x="46"/>
        <item x="76"/>
        <item x="22"/>
        <item x="52"/>
        <item x="82"/>
        <item t="default"/>
      </items>
    </pivotField>
    <pivotField axis="axisRow" showAll="0">
      <items count="7">
        <item x="5"/>
        <item x="0"/>
        <item x="1"/>
        <item x="2"/>
        <item x="3"/>
        <item x="4"/>
        <item t="default"/>
      </items>
    </pivotField>
    <pivotField showAll="0"/>
    <pivotField showAll="0">
      <items count="5">
        <item x="1"/>
        <item x="3"/>
        <item x="0"/>
        <item x="2"/>
        <item t="default"/>
      </items>
    </pivotField>
    <pivotField showAll="0">
      <items count="6">
        <item x="2"/>
        <item x="0"/>
        <item x="4"/>
        <item x="1"/>
        <item x="3"/>
        <item t="default"/>
      </items>
    </pivotField>
    <pivotField showAll="0"/>
    <pivotField showAll="0"/>
    <pivotField showAll="0"/>
    <pivotField dataField="1" showAll="0"/>
    <pivotField axis="axisCol" showAll="0" sortType="descending">
      <items count="4">
        <item x="1"/>
        <item x="2"/>
        <item x="0"/>
        <item t="default"/>
      </items>
      <autoSortScope>
        <pivotArea dataOnly="0" outline="0" fieldPosition="0">
          <references count="1">
            <reference field="4294967294" count="1" selected="0">
              <x v="0"/>
            </reference>
          </references>
        </pivotArea>
      </autoSortScope>
    </pivotField>
  </pivotFields>
  <rowFields count="1">
    <field x="2"/>
  </rowFields>
  <rowItems count="7">
    <i>
      <x/>
    </i>
    <i>
      <x v="1"/>
    </i>
    <i>
      <x v="2"/>
    </i>
    <i>
      <x v="3"/>
    </i>
    <i>
      <x v="4"/>
    </i>
    <i>
      <x v="5"/>
    </i>
    <i t="grand">
      <x/>
    </i>
  </rowItems>
  <colFields count="1">
    <field x="10"/>
  </colFields>
  <colItems count="4">
    <i>
      <x v="1"/>
    </i>
    <i>
      <x v="2"/>
    </i>
    <i>
      <x/>
    </i>
    <i t="grand">
      <x/>
    </i>
  </colItems>
  <dataFields count="1">
    <dataField name="Sum of Revenue ($)" fld="9" baseField="0" baseItem="0"/>
  </dataFields>
  <chartFormats count="27">
    <chartFormat chart="24" format="7" series="1">
      <pivotArea type="data" outline="0" fieldPosition="0">
        <references count="2">
          <reference field="4294967294" count="1" selected="0">
            <x v="0"/>
          </reference>
          <reference field="10" count="1" selected="0">
            <x v="0"/>
          </reference>
        </references>
      </pivotArea>
    </chartFormat>
    <chartFormat chart="24" format="8" series="1">
      <pivotArea type="data" outline="0" fieldPosition="0">
        <references count="2">
          <reference field="4294967294" count="1" selected="0">
            <x v="0"/>
          </reference>
          <reference field="10" count="1" selected="0">
            <x v="1"/>
          </reference>
        </references>
      </pivotArea>
    </chartFormat>
    <chartFormat chart="24" format="9" series="1">
      <pivotArea type="data" outline="0" fieldPosition="0">
        <references count="2">
          <reference field="4294967294" count="1" selected="0">
            <x v="0"/>
          </reference>
          <reference field="10" count="1" selected="0">
            <x v="2"/>
          </reference>
        </references>
      </pivotArea>
    </chartFormat>
    <chartFormat chart="25" format="7" series="1">
      <pivotArea type="data" outline="0" fieldPosition="0">
        <references count="2">
          <reference field="4294967294" count="1" selected="0">
            <x v="0"/>
          </reference>
          <reference field="10" count="1" selected="0">
            <x v="0"/>
          </reference>
        </references>
      </pivotArea>
    </chartFormat>
    <chartFormat chart="25" format="8" series="1">
      <pivotArea type="data" outline="0" fieldPosition="0">
        <references count="2">
          <reference field="4294967294" count="1" selected="0">
            <x v="0"/>
          </reference>
          <reference field="10" count="1" selected="0">
            <x v="1"/>
          </reference>
        </references>
      </pivotArea>
    </chartFormat>
    <chartFormat chart="25" format="9" series="1">
      <pivotArea type="data" outline="0" fieldPosition="0">
        <references count="2">
          <reference field="4294967294" count="1" selected="0">
            <x v="0"/>
          </reference>
          <reference field="10" count="1" selected="0">
            <x v="2"/>
          </reference>
        </references>
      </pivotArea>
    </chartFormat>
    <chartFormat chart="33" format="10" series="1">
      <pivotArea type="data" outline="0" fieldPosition="0">
        <references count="2">
          <reference field="4294967294" count="1" selected="0">
            <x v="0"/>
          </reference>
          <reference field="10" count="1" selected="0">
            <x v="1"/>
          </reference>
        </references>
      </pivotArea>
    </chartFormat>
    <chartFormat chart="33" format="11" series="1">
      <pivotArea type="data" outline="0" fieldPosition="0">
        <references count="2">
          <reference field="4294967294" count="1" selected="0">
            <x v="0"/>
          </reference>
          <reference field="10" count="1" selected="0">
            <x v="2"/>
          </reference>
        </references>
      </pivotArea>
    </chartFormat>
    <chartFormat chart="33" format="12" series="1">
      <pivotArea type="data" outline="0" fieldPosition="0">
        <references count="2">
          <reference field="4294967294" count="1" selected="0">
            <x v="0"/>
          </reference>
          <reference field="10" count="1" selected="0">
            <x v="0"/>
          </reference>
        </references>
      </pivotArea>
    </chartFormat>
    <chartFormat chart="34" format="13" series="1">
      <pivotArea type="data" outline="0" fieldPosition="0">
        <references count="2">
          <reference field="4294967294" count="1" selected="0">
            <x v="0"/>
          </reference>
          <reference field="10" count="1" selected="0">
            <x v="1"/>
          </reference>
        </references>
      </pivotArea>
    </chartFormat>
    <chartFormat chart="34" format="14" series="1">
      <pivotArea type="data" outline="0" fieldPosition="0">
        <references count="2">
          <reference field="4294967294" count="1" selected="0">
            <x v="0"/>
          </reference>
          <reference field="10" count="1" selected="0">
            <x v="2"/>
          </reference>
        </references>
      </pivotArea>
    </chartFormat>
    <chartFormat chart="34" format="15" series="1">
      <pivotArea type="data" outline="0" fieldPosition="0">
        <references count="2">
          <reference field="4294967294" count="1" selected="0">
            <x v="0"/>
          </reference>
          <reference field="10" count="1" selected="0">
            <x v="0"/>
          </reference>
        </references>
      </pivotArea>
    </chartFormat>
    <chartFormat chart="35" format="16" series="1">
      <pivotArea type="data" outline="0" fieldPosition="0">
        <references count="2">
          <reference field="4294967294" count="1" selected="0">
            <x v="0"/>
          </reference>
          <reference field="10" count="1" selected="0">
            <x v="1"/>
          </reference>
        </references>
      </pivotArea>
    </chartFormat>
    <chartFormat chart="35" format="17" series="1">
      <pivotArea type="data" outline="0" fieldPosition="0">
        <references count="2">
          <reference field="4294967294" count="1" selected="0">
            <x v="0"/>
          </reference>
          <reference field="10" count="1" selected="0">
            <x v="2"/>
          </reference>
        </references>
      </pivotArea>
    </chartFormat>
    <chartFormat chart="35" format="18" series="1">
      <pivotArea type="data" outline="0" fieldPosition="0">
        <references count="2">
          <reference field="4294967294" count="1" selected="0">
            <x v="0"/>
          </reference>
          <reference field="10" count="1" selected="0">
            <x v="0"/>
          </reference>
        </references>
      </pivotArea>
    </chartFormat>
    <chartFormat chart="36" format="10" series="1">
      <pivotArea type="data" outline="0" fieldPosition="0">
        <references count="2">
          <reference field="4294967294" count="1" selected="0">
            <x v="0"/>
          </reference>
          <reference field="10" count="1" selected="0">
            <x v="1"/>
          </reference>
        </references>
      </pivotArea>
    </chartFormat>
    <chartFormat chart="36" format="11" series="1">
      <pivotArea type="data" outline="0" fieldPosition="0">
        <references count="2">
          <reference field="4294967294" count="1" selected="0">
            <x v="0"/>
          </reference>
          <reference field="10" count="1" selected="0">
            <x v="2"/>
          </reference>
        </references>
      </pivotArea>
    </chartFormat>
    <chartFormat chart="36" format="12" series="1">
      <pivotArea type="data" outline="0" fieldPosition="0">
        <references count="2">
          <reference field="4294967294" count="1" selected="0">
            <x v="0"/>
          </reference>
          <reference field="10" count="1" selected="0">
            <x v="0"/>
          </reference>
        </references>
      </pivotArea>
    </chartFormat>
    <chartFormat chart="37" format="13" series="1">
      <pivotArea type="data" outline="0" fieldPosition="0">
        <references count="2">
          <reference field="4294967294" count="1" selected="0">
            <x v="0"/>
          </reference>
          <reference field="10" count="1" selected="0">
            <x v="1"/>
          </reference>
        </references>
      </pivotArea>
    </chartFormat>
    <chartFormat chart="37" format="14" series="1">
      <pivotArea type="data" outline="0" fieldPosition="0">
        <references count="2">
          <reference field="4294967294" count="1" selected="0">
            <x v="0"/>
          </reference>
          <reference field="10" count="1" selected="0">
            <x v="2"/>
          </reference>
        </references>
      </pivotArea>
    </chartFormat>
    <chartFormat chart="37" format="15" series="1">
      <pivotArea type="data" outline="0" fieldPosition="0">
        <references count="2">
          <reference field="4294967294" count="1" selected="0">
            <x v="0"/>
          </reference>
          <reference field="10" count="1" selected="0">
            <x v="0"/>
          </reference>
        </references>
      </pivotArea>
    </chartFormat>
    <chartFormat chart="40" format="16" series="1">
      <pivotArea type="data" outline="0" fieldPosition="0">
        <references count="2">
          <reference field="4294967294" count="1" selected="0">
            <x v="0"/>
          </reference>
          <reference field="10" count="1" selected="0">
            <x v="1"/>
          </reference>
        </references>
      </pivotArea>
    </chartFormat>
    <chartFormat chart="40" format="17" series="1">
      <pivotArea type="data" outline="0" fieldPosition="0">
        <references count="2">
          <reference field="4294967294" count="1" selected="0">
            <x v="0"/>
          </reference>
          <reference field="10" count="1" selected="0">
            <x v="2"/>
          </reference>
        </references>
      </pivotArea>
    </chartFormat>
    <chartFormat chart="40" format="18" series="1">
      <pivotArea type="data" outline="0" fieldPosition="0">
        <references count="2">
          <reference field="4294967294" count="1" selected="0">
            <x v="0"/>
          </reference>
          <reference field="10" count="1" selected="0">
            <x v="0"/>
          </reference>
        </references>
      </pivotArea>
    </chartFormat>
    <chartFormat chart="41" format="19" series="1">
      <pivotArea type="data" outline="0" fieldPosition="0">
        <references count="2">
          <reference field="4294967294" count="1" selected="0">
            <x v="0"/>
          </reference>
          <reference field="10" count="1" selected="0">
            <x v="1"/>
          </reference>
        </references>
      </pivotArea>
    </chartFormat>
    <chartFormat chart="41" format="20" series="1">
      <pivotArea type="data" outline="0" fieldPosition="0">
        <references count="2">
          <reference field="4294967294" count="1" selected="0">
            <x v="0"/>
          </reference>
          <reference field="10" count="1" selected="0">
            <x v="2"/>
          </reference>
        </references>
      </pivotArea>
    </chartFormat>
    <chartFormat chart="41" format="21" series="1">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3F3D1FE-E449-4C39-BD7D-AE3AB43E2CC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F19:G24" firstHeaderRow="1" firstDataRow="1" firstDataCol="1"/>
  <pivotFields count="11">
    <pivotField showAll="0"/>
    <pivotField showAll="0"/>
    <pivotField showAll="0">
      <items count="7">
        <item x="5"/>
        <item x="0"/>
        <item x="1"/>
        <item x="2"/>
        <item x="3"/>
        <item x="4"/>
        <item t="default"/>
      </items>
    </pivotField>
    <pivotField showAll="0"/>
    <pivotField axis="axisRow" showAll="0" sortType="ascending">
      <items count="5">
        <item x="1"/>
        <item x="3"/>
        <item x="0"/>
        <item x="2"/>
        <item t="default"/>
      </items>
      <autoSortScope>
        <pivotArea dataOnly="0" outline="0" fieldPosition="0">
          <references count="1">
            <reference field="4294967294" count="1" selected="0">
              <x v="0"/>
            </reference>
          </references>
        </pivotArea>
      </autoSortScope>
    </pivotField>
    <pivotField showAll="0">
      <items count="6">
        <item x="2"/>
        <item x="0"/>
        <item x="4"/>
        <item x="1"/>
        <item x="3"/>
        <item t="default"/>
      </items>
    </pivotField>
    <pivotField showAll="0"/>
    <pivotField showAll="0"/>
    <pivotField showAll="0"/>
    <pivotField dataField="1" showAll="0"/>
    <pivotField showAll="0"/>
  </pivotFields>
  <rowFields count="1">
    <field x="4"/>
  </rowFields>
  <rowItems count="5">
    <i>
      <x v="3"/>
    </i>
    <i>
      <x v="2"/>
    </i>
    <i>
      <x/>
    </i>
    <i>
      <x v="1"/>
    </i>
    <i t="grand">
      <x/>
    </i>
  </rowItems>
  <colItems count="1">
    <i/>
  </colItems>
  <dataFields count="1">
    <dataField name="Average of Revenue ($)" fld="9" subtotal="average" baseField="4" baseItem="0"/>
  </dataFields>
  <chartFormats count="20">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4" count="1" selected="0">
            <x v="1"/>
          </reference>
        </references>
      </pivotArea>
    </chartFormat>
    <chartFormat chart="3" format="2">
      <pivotArea type="data" outline="0" fieldPosition="0">
        <references count="2">
          <reference field="4294967294" count="1" selected="0">
            <x v="0"/>
          </reference>
          <reference field="4" count="1" selected="0">
            <x v="0"/>
          </reference>
        </references>
      </pivotArea>
    </chartFormat>
    <chartFormat chart="3" format="3">
      <pivotArea type="data" outline="0" fieldPosition="0">
        <references count="2">
          <reference field="4294967294" count="1" selected="0">
            <x v="0"/>
          </reference>
          <reference field="4" count="1" selected="0">
            <x v="2"/>
          </reference>
        </references>
      </pivotArea>
    </chartFormat>
    <chartFormat chart="3" format="4">
      <pivotArea type="data" outline="0" fieldPosition="0">
        <references count="2">
          <reference field="4294967294" count="1" selected="0">
            <x v="0"/>
          </reference>
          <reference field="4" count="1" selected="0">
            <x v="3"/>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4" count="1" selected="0">
            <x v="0"/>
          </reference>
        </references>
      </pivotArea>
    </chartFormat>
    <chartFormat chart="5" format="7">
      <pivotArea type="data" outline="0" fieldPosition="0">
        <references count="2">
          <reference field="4294967294" count="1" selected="0">
            <x v="0"/>
          </reference>
          <reference field="4" count="1" selected="0">
            <x v="1"/>
          </reference>
        </references>
      </pivotArea>
    </chartFormat>
    <chartFormat chart="5" format="8">
      <pivotArea type="data" outline="0" fieldPosition="0">
        <references count="2">
          <reference field="4294967294" count="1" selected="0">
            <x v="0"/>
          </reference>
          <reference field="4" count="1" selected="0">
            <x v="2"/>
          </reference>
        </references>
      </pivotArea>
    </chartFormat>
    <chartFormat chart="5" format="9">
      <pivotArea type="data" outline="0" fieldPosition="0">
        <references count="2">
          <reference field="4294967294" count="1" selected="0">
            <x v="0"/>
          </reference>
          <reference field="4" count="1" selected="0">
            <x v="3"/>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4" count="1" selected="0">
            <x v="0"/>
          </reference>
        </references>
      </pivotArea>
    </chartFormat>
    <chartFormat chart="6" format="12">
      <pivotArea type="data" outline="0" fieldPosition="0">
        <references count="2">
          <reference field="4294967294" count="1" selected="0">
            <x v="0"/>
          </reference>
          <reference field="4" count="1" selected="0">
            <x v="1"/>
          </reference>
        </references>
      </pivotArea>
    </chartFormat>
    <chartFormat chart="6" format="13">
      <pivotArea type="data" outline="0" fieldPosition="0">
        <references count="2">
          <reference field="4294967294" count="1" selected="0">
            <x v="0"/>
          </reference>
          <reference field="4" count="1" selected="0">
            <x v="2"/>
          </reference>
        </references>
      </pivotArea>
    </chartFormat>
    <chartFormat chart="6" format="14">
      <pivotArea type="data" outline="0" fieldPosition="0">
        <references count="2">
          <reference field="4294967294" count="1" selected="0">
            <x v="0"/>
          </reference>
          <reference field="4" count="1" selected="0">
            <x v="3"/>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4" count="1" selected="0">
            <x v="0"/>
          </reference>
        </references>
      </pivotArea>
    </chartFormat>
    <chartFormat chart="7" format="12">
      <pivotArea type="data" outline="0" fieldPosition="0">
        <references count="2">
          <reference field="4294967294" count="1" selected="0">
            <x v="0"/>
          </reference>
          <reference field="4" count="1" selected="0">
            <x v="1"/>
          </reference>
        </references>
      </pivotArea>
    </chartFormat>
    <chartFormat chart="7" format="13">
      <pivotArea type="data" outline="0" fieldPosition="0">
        <references count="2">
          <reference field="4294967294" count="1" selected="0">
            <x v="0"/>
          </reference>
          <reference field="4" count="1" selected="0">
            <x v="2"/>
          </reference>
        </references>
      </pivotArea>
    </chartFormat>
    <chartFormat chart="7"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DCAA356-8140-4E5F-B5F7-28036C8197A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E3:F7" firstHeaderRow="1" firstDataRow="1" firstDataCol="1"/>
  <pivotFields count="11">
    <pivotField showAll="0"/>
    <pivotField showAll="0"/>
    <pivotField showAll="0">
      <items count="7">
        <item x="5"/>
        <item x="0"/>
        <item x="1"/>
        <item x="2"/>
        <item x="3"/>
        <item x="4"/>
        <item t="default"/>
      </items>
    </pivotField>
    <pivotField axis="axisRow" showAll="0" measureFilter="1" sortType="ascending">
      <items count="13">
        <item x="2"/>
        <item x="10"/>
        <item x="1"/>
        <item x="5"/>
        <item x="8"/>
        <item x="11"/>
        <item x="9"/>
        <item x="6"/>
        <item x="4"/>
        <item x="7"/>
        <item x="0"/>
        <item x="3"/>
        <item t="default"/>
      </items>
      <autoSortScope>
        <pivotArea dataOnly="0" outline="0" fieldPosition="0">
          <references count="1">
            <reference field="4294967294" count="1" selected="0">
              <x v="0"/>
            </reference>
          </references>
        </pivotArea>
      </autoSortScope>
    </pivotField>
    <pivotField showAll="0">
      <items count="5">
        <item x="1"/>
        <item x="3"/>
        <item x="0"/>
        <item x="2"/>
        <item t="default"/>
      </items>
    </pivotField>
    <pivotField showAll="0">
      <items count="6">
        <item x="2"/>
        <item x="0"/>
        <item x="4"/>
        <item x="1"/>
        <item x="3"/>
        <item t="default"/>
      </items>
    </pivotField>
    <pivotField showAll="0"/>
    <pivotField showAll="0"/>
    <pivotField showAll="0"/>
    <pivotField dataField="1" showAll="0"/>
    <pivotField showAll="0"/>
  </pivotFields>
  <rowFields count="1">
    <field x="3"/>
  </rowFields>
  <rowItems count="4">
    <i>
      <x v="7"/>
    </i>
    <i>
      <x v="3"/>
    </i>
    <i>
      <x v="5"/>
    </i>
    <i t="grand">
      <x/>
    </i>
  </rowItems>
  <colItems count="1">
    <i/>
  </colItems>
  <dataFields count="1">
    <dataField name="Sum of Revenue ($)" fld="9" baseField="0" baseItem="0"/>
  </dataFields>
  <chartFormats count="20">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3" count="1" selected="0">
            <x v="5"/>
          </reference>
        </references>
      </pivotArea>
    </chartFormat>
    <chartFormat chart="10" format="10">
      <pivotArea type="data" outline="0" fieldPosition="0">
        <references count="2">
          <reference field="4294967294" count="1" selected="0">
            <x v="0"/>
          </reference>
          <reference field="3" count="1" selected="0">
            <x v="3"/>
          </reference>
        </references>
      </pivotArea>
    </chartFormat>
    <chartFormat chart="10" format="11">
      <pivotArea type="data" outline="0" fieldPosition="0">
        <references count="2">
          <reference field="4294967294" count="1" selected="0">
            <x v="0"/>
          </reference>
          <reference field="3" count="1" selected="0">
            <x v="7"/>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3" count="1" selected="0">
            <x v="5"/>
          </reference>
        </references>
      </pivotArea>
    </chartFormat>
    <chartFormat chart="11" format="10">
      <pivotArea type="data" outline="0" fieldPosition="0">
        <references count="2">
          <reference field="4294967294" count="1" selected="0">
            <x v="0"/>
          </reference>
          <reference field="3" count="1" selected="0">
            <x v="3"/>
          </reference>
        </references>
      </pivotArea>
    </chartFormat>
    <chartFormat chart="11" format="11">
      <pivotArea type="data" outline="0" fieldPosition="0">
        <references count="2">
          <reference field="4294967294" count="1" selected="0">
            <x v="0"/>
          </reference>
          <reference field="3" count="1" selected="0">
            <x v="7"/>
          </reference>
        </references>
      </pivotArea>
    </chartFormat>
    <chartFormat chart="19" format="16" series="1">
      <pivotArea type="data" outline="0" fieldPosition="0">
        <references count="1">
          <reference field="4294967294" count="1" selected="0">
            <x v="0"/>
          </reference>
        </references>
      </pivotArea>
    </chartFormat>
    <chartFormat chart="19" format="17">
      <pivotArea type="data" outline="0" fieldPosition="0">
        <references count="2">
          <reference field="4294967294" count="1" selected="0">
            <x v="0"/>
          </reference>
          <reference field="3" count="1" selected="0">
            <x v="7"/>
          </reference>
        </references>
      </pivotArea>
    </chartFormat>
    <chartFormat chart="19" format="18">
      <pivotArea type="data" outline="0" fieldPosition="0">
        <references count="2">
          <reference field="4294967294" count="1" selected="0">
            <x v="0"/>
          </reference>
          <reference field="3" count="1" selected="0">
            <x v="3"/>
          </reference>
        </references>
      </pivotArea>
    </chartFormat>
    <chartFormat chart="19" format="19">
      <pivotArea type="data" outline="0" fieldPosition="0">
        <references count="2">
          <reference field="4294967294" count="1" selected="0">
            <x v="0"/>
          </reference>
          <reference field="3" count="1" selected="0">
            <x v="5"/>
          </reference>
        </references>
      </pivotArea>
    </chartFormat>
    <chartFormat chart="21" format="20" series="1">
      <pivotArea type="data" outline="0" fieldPosition="0">
        <references count="1">
          <reference field="4294967294" count="1" selected="0">
            <x v="0"/>
          </reference>
        </references>
      </pivotArea>
    </chartFormat>
    <chartFormat chart="21" format="21">
      <pivotArea type="data" outline="0" fieldPosition="0">
        <references count="2">
          <reference field="4294967294" count="1" selected="0">
            <x v="0"/>
          </reference>
          <reference field="3" count="1" selected="0">
            <x v="7"/>
          </reference>
        </references>
      </pivotArea>
    </chartFormat>
    <chartFormat chart="21" format="22">
      <pivotArea type="data" outline="0" fieldPosition="0">
        <references count="2">
          <reference field="4294967294" count="1" selected="0">
            <x v="0"/>
          </reference>
          <reference field="3" count="1" selected="0">
            <x v="3"/>
          </reference>
        </references>
      </pivotArea>
    </chartFormat>
    <chartFormat chart="21" format="23">
      <pivotArea type="data" outline="0" fieldPosition="0">
        <references count="2">
          <reference field="4294967294" count="1" selected="0">
            <x v="0"/>
          </reference>
          <reference field="3" count="1" selected="0">
            <x v="5"/>
          </reference>
        </references>
      </pivotArea>
    </chartFormat>
    <chartFormat chart="19" format="20">
      <pivotArea type="data" outline="0" fieldPosition="0">
        <references count="2">
          <reference field="4294967294" count="1" selected="0">
            <x v="0"/>
          </reference>
          <reference field="3" count="1" selected="0">
            <x v="2"/>
          </reference>
        </references>
      </pivotArea>
    </chartFormat>
    <chartFormat chart="19" format="21">
      <pivotArea type="data" outline="0" fieldPosition="0">
        <references count="2">
          <reference field="4294967294" count="1" selected="0">
            <x v="0"/>
          </reference>
          <reference field="3" count="1" selected="0">
            <x v="9"/>
          </reference>
        </references>
      </pivotArea>
    </chartFormat>
    <chartFormat chart="11" format="12">
      <pivotArea type="data" outline="0" fieldPosition="0">
        <references count="2">
          <reference field="4294967294" count="1" selected="0">
            <x v="0"/>
          </reference>
          <reference field="3" count="1" selected="0">
            <x v="2"/>
          </reference>
        </references>
      </pivotArea>
    </chartFormat>
    <chartFormat chart="11" format="13">
      <pivotArea type="data" outline="0" fieldPosition="0">
        <references count="2">
          <reference field="4294967294" count="1" selected="0">
            <x v="0"/>
          </reference>
          <reference field="3" count="1" selected="0">
            <x v="9"/>
          </reference>
        </references>
      </pivotArea>
    </chartFormat>
  </chartFormats>
  <pivotTableStyleInfo name="PivotStyleLight16" showRowHeaders="1" showColHeaders="1" showRowStripes="0" showColStripes="0" showLastColumn="1"/>
  <filters count="1">
    <filter fld="3" type="count" evalOrder="-1" id="4"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8111AFA-33CF-439B-85C9-ED78EC4BAD0E}"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80:I311" firstHeaderRow="1" firstDataRow="1" firstDataCol="1"/>
  <pivotFields count="11">
    <pivotField showAll="0"/>
    <pivotField axis="axisRow" showAll="0">
      <items count="85">
        <item x="83"/>
        <item x="29"/>
        <item x="59"/>
        <item x="5"/>
        <item x="35"/>
        <item x="65"/>
        <item x="11"/>
        <item x="41"/>
        <item x="71"/>
        <item x="17"/>
        <item x="47"/>
        <item x="77"/>
        <item x="23"/>
        <item x="53"/>
        <item x="0"/>
        <item x="30"/>
        <item x="60"/>
        <item x="6"/>
        <item x="36"/>
        <item x="66"/>
        <item x="12"/>
        <item x="42"/>
        <item x="72"/>
        <item x="18"/>
        <item x="48"/>
        <item x="78"/>
        <item x="24"/>
        <item x="54"/>
        <item x="55"/>
        <item x="1"/>
        <item x="31"/>
        <item x="61"/>
        <item x="7"/>
        <item x="37"/>
        <item x="67"/>
        <item x="13"/>
        <item x="43"/>
        <item x="73"/>
        <item x="19"/>
        <item x="49"/>
        <item x="79"/>
        <item x="25"/>
        <item x="56"/>
        <item x="2"/>
        <item x="32"/>
        <item x="62"/>
        <item x="8"/>
        <item x="38"/>
        <item x="68"/>
        <item x="14"/>
        <item x="44"/>
        <item x="74"/>
        <item x="20"/>
        <item x="50"/>
        <item x="80"/>
        <item x="26"/>
        <item x="27"/>
        <item x="57"/>
        <item x="3"/>
        <item x="33"/>
        <item x="63"/>
        <item x="9"/>
        <item x="39"/>
        <item x="69"/>
        <item x="15"/>
        <item x="45"/>
        <item x="75"/>
        <item x="21"/>
        <item x="51"/>
        <item x="81"/>
        <item x="28"/>
        <item x="58"/>
        <item x="4"/>
        <item x="34"/>
        <item x="64"/>
        <item x="10"/>
        <item x="40"/>
        <item x="70"/>
        <item x="16"/>
        <item x="46"/>
        <item x="76"/>
        <item x="22"/>
        <item x="52"/>
        <item x="82"/>
        <item t="default"/>
      </items>
    </pivotField>
    <pivotField showAll="0">
      <items count="7">
        <item x="5"/>
        <item x="0"/>
        <item x="1"/>
        <item x="2"/>
        <item x="3"/>
        <item x="4"/>
        <item t="default"/>
      </items>
    </pivotField>
    <pivotField showAll="0"/>
    <pivotField showAll="0">
      <items count="5">
        <item x="1"/>
        <item x="3"/>
        <item x="0"/>
        <item x="2"/>
        <item t="default"/>
      </items>
    </pivotField>
    <pivotField showAll="0">
      <items count="6">
        <item x="2"/>
        <item x="0"/>
        <item x="4"/>
        <item x="1"/>
        <item x="3"/>
        <item t="default"/>
      </items>
    </pivotField>
    <pivotField axis="axisRow" showAll="0">
      <items count="31">
        <item x="25"/>
        <item x="14"/>
        <item x="18"/>
        <item x="22"/>
        <item x="9"/>
        <item x="12"/>
        <item x="11"/>
        <item x="17"/>
        <item x="28"/>
        <item x="13"/>
        <item x="1"/>
        <item x="29"/>
        <item x="15"/>
        <item x="21"/>
        <item x="6"/>
        <item x="0"/>
        <item x="7"/>
        <item x="24"/>
        <item x="5"/>
        <item x="26"/>
        <item x="23"/>
        <item x="10"/>
        <item x="19"/>
        <item x="27"/>
        <item x="4"/>
        <item x="2"/>
        <item x="3"/>
        <item x="16"/>
        <item x="8"/>
        <item x="20"/>
        <item t="default"/>
      </items>
    </pivotField>
    <pivotField showAll="0"/>
    <pivotField showAll="0"/>
    <pivotField showAll="0"/>
    <pivotField showAll="0"/>
  </pivotFields>
  <rowFields count="2">
    <field x="6"/>
    <field x="1"/>
  </rowFields>
  <rowItems count="231">
    <i>
      <x/>
    </i>
    <i r="1">
      <x v="28"/>
    </i>
    <i r="1">
      <x v="29"/>
    </i>
    <i r="1">
      <x v="30"/>
    </i>
    <i r="1">
      <x v="31"/>
    </i>
    <i r="1">
      <x v="32"/>
    </i>
    <i r="1">
      <x v="41"/>
    </i>
    <i>
      <x v="1"/>
    </i>
    <i r="1">
      <x v="49"/>
    </i>
    <i r="1">
      <x v="50"/>
    </i>
    <i r="1">
      <x v="51"/>
    </i>
    <i r="1">
      <x v="52"/>
    </i>
    <i r="1">
      <x v="53"/>
    </i>
    <i r="1">
      <x v="54"/>
    </i>
    <i r="1">
      <x v="55"/>
    </i>
    <i>
      <x v="2"/>
    </i>
    <i r="1">
      <x v="14"/>
    </i>
    <i r="1">
      <x v="15"/>
    </i>
    <i r="1">
      <x v="23"/>
    </i>
    <i r="1">
      <x v="24"/>
    </i>
    <i r="1">
      <x v="25"/>
    </i>
    <i r="1">
      <x v="26"/>
    </i>
    <i r="1">
      <x v="27"/>
    </i>
    <i>
      <x v="3"/>
    </i>
    <i r="1">
      <x v="70"/>
    </i>
    <i r="1">
      <x v="71"/>
    </i>
    <i r="1">
      <x v="72"/>
    </i>
    <i r="1">
      <x v="81"/>
    </i>
    <i r="1">
      <x v="82"/>
    </i>
    <i r="1">
      <x v="83"/>
    </i>
    <i>
      <x v="4"/>
    </i>
    <i r="1">
      <x v="61"/>
    </i>
    <i r="1">
      <x v="62"/>
    </i>
    <i r="1">
      <x v="63"/>
    </i>
    <i r="1">
      <x v="64"/>
    </i>
    <i r="1">
      <x v="65"/>
    </i>
    <i r="1">
      <x v="66"/>
    </i>
    <i r="1">
      <x v="67"/>
    </i>
    <i>
      <x v="5"/>
    </i>
    <i r="1">
      <x v="20"/>
    </i>
    <i r="1">
      <x v="21"/>
    </i>
    <i r="1">
      <x v="22"/>
    </i>
    <i r="1">
      <x v="23"/>
    </i>
    <i r="1">
      <x v="24"/>
    </i>
    <i r="1">
      <x v="25"/>
    </i>
    <i r="1">
      <x v="26"/>
    </i>
    <i>
      <x v="6"/>
    </i>
    <i r="1">
      <x v="6"/>
    </i>
    <i r="1">
      <x v="7"/>
    </i>
    <i r="1">
      <x v="8"/>
    </i>
    <i r="1">
      <x v="9"/>
    </i>
    <i r="1">
      <x v="10"/>
    </i>
    <i r="1">
      <x v="11"/>
    </i>
    <i r="1">
      <x v="12"/>
    </i>
    <i>
      <x v="7"/>
    </i>
    <i r="1">
      <x/>
    </i>
    <i r="1">
      <x v="1"/>
    </i>
    <i r="1">
      <x v="9"/>
    </i>
    <i r="1">
      <x v="10"/>
    </i>
    <i r="1">
      <x v="11"/>
    </i>
    <i r="1">
      <x v="12"/>
    </i>
    <i r="1">
      <x v="13"/>
    </i>
    <i>
      <x v="8"/>
    </i>
    <i r="1">
      <x v="70"/>
    </i>
    <i r="1">
      <x v="71"/>
    </i>
    <i r="1">
      <x v="72"/>
    </i>
    <i r="1">
      <x v="73"/>
    </i>
    <i r="1">
      <x v="74"/>
    </i>
    <i r="1">
      <x v="75"/>
    </i>
    <i>
      <x v="9"/>
    </i>
    <i r="1">
      <x v="35"/>
    </i>
    <i r="1">
      <x v="36"/>
    </i>
    <i r="1">
      <x v="37"/>
    </i>
    <i r="1">
      <x v="38"/>
    </i>
    <i r="1">
      <x v="39"/>
    </i>
    <i r="1">
      <x v="40"/>
    </i>
    <i r="1">
      <x v="41"/>
    </i>
    <i>
      <x v="10"/>
    </i>
    <i r="1">
      <x v="29"/>
    </i>
    <i r="1">
      <x v="30"/>
    </i>
    <i r="1">
      <x v="31"/>
    </i>
    <i r="1">
      <x v="32"/>
    </i>
    <i r="1">
      <x v="33"/>
    </i>
    <i r="1">
      <x v="34"/>
    </i>
    <i r="1">
      <x v="35"/>
    </i>
    <i>
      <x v="11"/>
    </i>
    <i r="1">
      <x v="1"/>
    </i>
    <i r="1">
      <x v="2"/>
    </i>
    <i r="1">
      <x v="3"/>
    </i>
    <i r="1">
      <x v="4"/>
    </i>
    <i r="1">
      <x v="5"/>
    </i>
    <i r="1">
      <x v="6"/>
    </i>
    <i>
      <x v="12"/>
    </i>
    <i r="1">
      <x v="56"/>
    </i>
    <i r="1">
      <x v="64"/>
    </i>
    <i r="1">
      <x v="65"/>
    </i>
    <i r="1">
      <x v="66"/>
    </i>
    <i r="1">
      <x v="67"/>
    </i>
    <i r="1">
      <x v="68"/>
    </i>
    <i r="1">
      <x v="69"/>
    </i>
    <i>
      <x v="13"/>
    </i>
    <i r="1">
      <x v="56"/>
    </i>
    <i r="1">
      <x v="57"/>
    </i>
    <i r="1">
      <x v="58"/>
    </i>
    <i r="1">
      <x v="67"/>
    </i>
    <i r="1">
      <x v="68"/>
    </i>
    <i r="1">
      <x v="69"/>
    </i>
    <i>
      <x v="14"/>
    </i>
    <i r="1">
      <x v="17"/>
    </i>
    <i r="1">
      <x v="18"/>
    </i>
    <i r="1">
      <x v="19"/>
    </i>
    <i r="1">
      <x v="20"/>
    </i>
    <i r="1">
      <x v="21"/>
    </i>
    <i r="1">
      <x v="22"/>
    </i>
    <i r="1">
      <x v="23"/>
    </i>
    <i>
      <x v="15"/>
    </i>
    <i r="1">
      <x v="14"/>
    </i>
    <i r="1">
      <x v="15"/>
    </i>
    <i r="1">
      <x v="16"/>
    </i>
    <i r="1">
      <x v="17"/>
    </i>
    <i r="1">
      <x v="18"/>
    </i>
    <i r="1">
      <x v="19"/>
    </i>
    <i r="1">
      <x v="20"/>
    </i>
    <i>
      <x v="16"/>
    </i>
    <i r="1">
      <x v="32"/>
    </i>
    <i r="1">
      <x v="33"/>
    </i>
    <i r="1">
      <x v="34"/>
    </i>
    <i r="1">
      <x v="35"/>
    </i>
    <i r="1">
      <x v="36"/>
    </i>
    <i r="1">
      <x v="37"/>
    </i>
    <i r="1">
      <x v="38"/>
    </i>
    <i>
      <x v="17"/>
    </i>
    <i r="1">
      <x v="14"/>
    </i>
    <i r="1">
      <x v="15"/>
    </i>
    <i r="1">
      <x v="16"/>
    </i>
    <i r="1">
      <x v="17"/>
    </i>
    <i r="1">
      <x v="26"/>
    </i>
    <i r="1">
      <x v="27"/>
    </i>
    <i>
      <x v="18"/>
    </i>
    <i r="1">
      <x v="3"/>
    </i>
    <i r="1">
      <x v="4"/>
    </i>
    <i r="1">
      <x v="5"/>
    </i>
    <i r="1">
      <x v="6"/>
    </i>
    <i r="1">
      <x v="7"/>
    </i>
    <i r="1">
      <x v="8"/>
    </i>
    <i r="1">
      <x v="9"/>
    </i>
    <i>
      <x v="19"/>
    </i>
    <i r="1">
      <x v="42"/>
    </i>
    <i r="1">
      <x v="43"/>
    </i>
    <i r="1">
      <x v="44"/>
    </i>
    <i r="1">
      <x v="45"/>
    </i>
    <i r="1">
      <x v="46"/>
    </i>
    <i r="1">
      <x v="55"/>
    </i>
    <i>
      <x v="20"/>
    </i>
    <i r="1">
      <x/>
    </i>
    <i r="1">
      <x v="1"/>
    </i>
    <i r="1">
      <x v="2"/>
    </i>
    <i r="1">
      <x v="3"/>
    </i>
    <i r="1">
      <x v="12"/>
    </i>
    <i r="1">
      <x v="13"/>
    </i>
    <i>
      <x v="21"/>
    </i>
    <i r="1">
      <x v="75"/>
    </i>
    <i r="1">
      <x v="76"/>
    </i>
    <i r="1">
      <x v="77"/>
    </i>
    <i r="1">
      <x v="78"/>
    </i>
    <i r="1">
      <x v="79"/>
    </i>
    <i r="1">
      <x v="80"/>
    </i>
    <i r="1">
      <x v="81"/>
    </i>
    <i>
      <x v="22"/>
    </i>
    <i r="1">
      <x v="28"/>
    </i>
    <i r="1">
      <x v="29"/>
    </i>
    <i r="1">
      <x v="30"/>
    </i>
    <i r="1">
      <x v="38"/>
    </i>
    <i r="1">
      <x v="39"/>
    </i>
    <i r="1">
      <x v="40"/>
    </i>
    <i r="1">
      <x v="41"/>
    </i>
    <i>
      <x v="23"/>
    </i>
    <i r="1">
      <x v="56"/>
    </i>
    <i r="1">
      <x v="57"/>
    </i>
    <i r="1">
      <x v="58"/>
    </i>
    <i r="1">
      <x v="59"/>
    </i>
    <i r="1">
      <x v="60"/>
    </i>
    <i r="1">
      <x v="61"/>
    </i>
    <i>
      <x v="24"/>
    </i>
    <i r="1">
      <x v="72"/>
    </i>
    <i r="1">
      <x v="73"/>
    </i>
    <i r="1">
      <x v="74"/>
    </i>
    <i r="1">
      <x v="75"/>
    </i>
    <i r="1">
      <x v="76"/>
    </i>
    <i r="1">
      <x v="77"/>
    </i>
    <i r="1">
      <x v="78"/>
    </i>
    <i>
      <x v="25"/>
    </i>
    <i r="1">
      <x v="43"/>
    </i>
    <i r="1">
      <x v="44"/>
    </i>
    <i r="1">
      <x v="45"/>
    </i>
    <i r="1">
      <x v="46"/>
    </i>
    <i r="1">
      <x v="47"/>
    </i>
    <i r="1">
      <x v="48"/>
    </i>
    <i r="1">
      <x v="49"/>
    </i>
    <i>
      <x v="26"/>
    </i>
    <i r="1">
      <x v="58"/>
    </i>
    <i r="1">
      <x v="59"/>
    </i>
    <i r="1">
      <x v="60"/>
    </i>
    <i r="1">
      <x v="61"/>
    </i>
    <i r="1">
      <x v="62"/>
    </i>
    <i r="1">
      <x v="63"/>
    </i>
    <i r="1">
      <x v="64"/>
    </i>
    <i>
      <x v="27"/>
    </i>
    <i r="1">
      <x v="70"/>
    </i>
    <i r="1">
      <x v="78"/>
    </i>
    <i r="1">
      <x v="79"/>
    </i>
    <i r="1">
      <x v="80"/>
    </i>
    <i r="1">
      <x v="81"/>
    </i>
    <i r="1">
      <x v="82"/>
    </i>
    <i r="1">
      <x v="83"/>
    </i>
    <i>
      <x v="28"/>
    </i>
    <i r="1">
      <x v="46"/>
    </i>
    <i r="1">
      <x v="47"/>
    </i>
    <i r="1">
      <x v="48"/>
    </i>
    <i r="1">
      <x v="49"/>
    </i>
    <i r="1">
      <x v="50"/>
    </i>
    <i r="1">
      <x v="51"/>
    </i>
    <i r="1">
      <x v="52"/>
    </i>
    <i>
      <x v="29"/>
    </i>
    <i r="1">
      <x v="42"/>
    </i>
    <i r="1">
      <x v="43"/>
    </i>
    <i r="1">
      <x v="52"/>
    </i>
    <i r="1">
      <x v="53"/>
    </i>
    <i r="1">
      <x v="54"/>
    </i>
    <i r="1">
      <x v="5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8C3DA93-700C-43E2-9842-481407EAE86A}" name="PivotTable1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78:B109" firstHeaderRow="1" firstDataRow="1" firstDataCol="1"/>
  <pivotFields count="11">
    <pivotField showAll="0"/>
    <pivotField dataField="1" showAll="0">
      <items count="85">
        <item x="83"/>
        <item x="29"/>
        <item x="59"/>
        <item x="5"/>
        <item x="35"/>
        <item x="65"/>
        <item x="11"/>
        <item x="41"/>
        <item x="71"/>
        <item x="17"/>
        <item x="47"/>
        <item x="77"/>
        <item x="23"/>
        <item x="53"/>
        <item x="0"/>
        <item x="30"/>
        <item x="60"/>
        <item x="6"/>
        <item x="36"/>
        <item x="66"/>
        <item x="12"/>
        <item x="42"/>
        <item x="72"/>
        <item x="18"/>
        <item x="48"/>
        <item x="78"/>
        <item x="24"/>
        <item x="54"/>
        <item x="55"/>
        <item x="1"/>
        <item x="31"/>
        <item x="61"/>
        <item x="7"/>
        <item x="37"/>
        <item x="67"/>
        <item x="13"/>
        <item x="43"/>
        <item x="73"/>
        <item x="19"/>
        <item x="49"/>
        <item x="79"/>
        <item x="25"/>
        <item x="56"/>
        <item x="2"/>
        <item x="32"/>
        <item x="62"/>
        <item x="8"/>
        <item x="38"/>
        <item x="68"/>
        <item x="14"/>
        <item x="44"/>
        <item x="74"/>
        <item x="20"/>
        <item x="50"/>
        <item x="80"/>
        <item x="26"/>
        <item x="27"/>
        <item x="57"/>
        <item x="3"/>
        <item x="33"/>
        <item x="63"/>
        <item x="9"/>
        <item x="39"/>
        <item x="69"/>
        <item x="15"/>
        <item x="45"/>
        <item x="75"/>
        <item x="21"/>
        <item x="51"/>
        <item x="81"/>
        <item x="28"/>
        <item x="58"/>
        <item x="4"/>
        <item x="34"/>
        <item x="64"/>
        <item x="10"/>
        <item x="40"/>
        <item x="70"/>
        <item x="16"/>
        <item x="46"/>
        <item x="76"/>
        <item x="22"/>
        <item x="52"/>
        <item x="82"/>
        <item t="default"/>
      </items>
    </pivotField>
    <pivotField showAll="0">
      <items count="7">
        <item x="5"/>
        <item x="0"/>
        <item x="1"/>
        <item x="2"/>
        <item x="3"/>
        <item x="4"/>
        <item t="default"/>
      </items>
    </pivotField>
    <pivotField showAll="0"/>
    <pivotField showAll="0">
      <items count="5">
        <item x="1"/>
        <item x="3"/>
        <item x="0"/>
        <item x="2"/>
        <item t="default"/>
      </items>
    </pivotField>
    <pivotField showAll="0">
      <items count="6">
        <item x="2"/>
        <item x="0"/>
        <item x="4"/>
        <item x="1"/>
        <item x="3"/>
        <item t="default"/>
      </items>
    </pivotField>
    <pivotField axis="axisRow" showAll="0">
      <items count="31">
        <item x="25"/>
        <item x="14"/>
        <item x="18"/>
        <item x="22"/>
        <item x="9"/>
        <item x="12"/>
        <item x="11"/>
        <item x="17"/>
        <item x="28"/>
        <item x="13"/>
        <item x="1"/>
        <item x="29"/>
        <item x="15"/>
        <item x="21"/>
        <item x="6"/>
        <item x="0"/>
        <item x="7"/>
        <item x="24"/>
        <item x="5"/>
        <item x="26"/>
        <item x="23"/>
        <item x="10"/>
        <item x="19"/>
        <item x="27"/>
        <item x="4"/>
        <item x="2"/>
        <item x="3"/>
        <item x="16"/>
        <item x="8"/>
        <item x="20"/>
        <item t="default"/>
      </items>
    </pivotField>
    <pivotField showAll="0"/>
    <pivotField showAll="0"/>
    <pivotField showAll="0"/>
    <pivotField showAll="0"/>
  </pivotFields>
  <rowFields count="1">
    <field x="6"/>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Count of Dat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36A9F89-C44A-43FF-85D4-023187A1559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9:C35" firstHeaderRow="0" firstDataRow="1" firstDataCol="1"/>
  <pivotFields count="11">
    <pivotField showAll="0"/>
    <pivotField showAll="0"/>
    <pivotField showAll="0">
      <items count="7">
        <item x="5"/>
        <item x="0"/>
        <item x="1"/>
        <item x="2"/>
        <item x="3"/>
        <item x="4"/>
        <item t="default"/>
      </items>
    </pivotField>
    <pivotField showAll="0"/>
    <pivotField showAll="0">
      <items count="5">
        <item x="1"/>
        <item x="3"/>
        <item x="0"/>
        <item x="2"/>
        <item t="default"/>
      </items>
    </pivotField>
    <pivotField axis="axisRow" showAll="0" sortType="ascending">
      <items count="6">
        <item x="2"/>
        <item x="0"/>
        <item x="4"/>
        <item x="1"/>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dataField="1" showAll="0"/>
    <pivotField showAll="0"/>
  </pivotFields>
  <rowFields count="1">
    <field x="5"/>
  </rowFields>
  <rowItems count="6">
    <i>
      <x v="2"/>
    </i>
    <i>
      <x/>
    </i>
    <i>
      <x v="3"/>
    </i>
    <i>
      <x v="1"/>
    </i>
    <i>
      <x v="4"/>
    </i>
    <i t="grand">
      <x/>
    </i>
  </rowItems>
  <colFields count="1">
    <field x="-2"/>
  </colFields>
  <colItems count="2">
    <i>
      <x/>
    </i>
    <i i="1">
      <x v="1"/>
    </i>
  </colItems>
  <dataFields count="2">
    <dataField name="Sum of Units Sold" fld="7" baseField="0" baseItem="0"/>
    <dataField name="Sum of Revenue ($)" fld="9" baseField="0" baseItem="0"/>
  </dataFields>
  <chartFormats count="21">
    <chartFormat chart="8" format="14" series="1">
      <pivotArea type="data" outline="0" fieldPosition="0">
        <references count="1">
          <reference field="4294967294" count="1" selected="0">
            <x v="1"/>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5" count="1" selected="0">
            <x v="2"/>
          </reference>
        </references>
      </pivotArea>
    </chartFormat>
    <chartFormat chart="8" format="17">
      <pivotArea type="data" outline="0" fieldPosition="0">
        <references count="2">
          <reference field="4294967294" count="1" selected="0">
            <x v="0"/>
          </reference>
          <reference field="5" count="1" selected="0">
            <x v="0"/>
          </reference>
        </references>
      </pivotArea>
    </chartFormat>
    <chartFormat chart="8" format="18">
      <pivotArea type="data" outline="0" fieldPosition="0">
        <references count="2">
          <reference field="4294967294" count="1" selected="0">
            <x v="0"/>
          </reference>
          <reference field="5" count="1" selected="0">
            <x v="3"/>
          </reference>
        </references>
      </pivotArea>
    </chartFormat>
    <chartFormat chart="8" format="19">
      <pivotArea type="data" outline="0" fieldPosition="0">
        <references count="2">
          <reference field="4294967294" count="1" selected="0">
            <x v="0"/>
          </reference>
          <reference field="5" count="1" selected="0">
            <x v="1"/>
          </reference>
        </references>
      </pivotArea>
    </chartFormat>
    <chartFormat chart="8" format="20">
      <pivotArea type="data" outline="0" fieldPosition="0">
        <references count="2">
          <reference field="4294967294" count="1" selected="0">
            <x v="0"/>
          </reference>
          <reference field="5" count="1" selected="0">
            <x v="4"/>
          </reference>
        </references>
      </pivotArea>
    </chartFormat>
    <chartFormat chart="9" format="14" series="1">
      <pivotArea type="data" outline="0" fieldPosition="0">
        <references count="1">
          <reference field="4294967294" count="1" selected="0">
            <x v="1"/>
          </reference>
        </references>
      </pivotArea>
    </chartFormat>
    <chartFormat chart="9" format="15" series="1">
      <pivotArea type="data" outline="0" fieldPosition="0">
        <references count="1">
          <reference field="4294967294" count="1" selected="0">
            <x v="0"/>
          </reference>
        </references>
      </pivotArea>
    </chartFormat>
    <chartFormat chart="9" format="16">
      <pivotArea type="data" outline="0" fieldPosition="0">
        <references count="2">
          <reference field="4294967294" count="1" selected="0">
            <x v="0"/>
          </reference>
          <reference field="5" count="1" selected="0">
            <x v="2"/>
          </reference>
        </references>
      </pivotArea>
    </chartFormat>
    <chartFormat chart="9" format="17">
      <pivotArea type="data" outline="0" fieldPosition="0">
        <references count="2">
          <reference field="4294967294" count="1" selected="0">
            <x v="0"/>
          </reference>
          <reference field="5" count="1" selected="0">
            <x v="0"/>
          </reference>
        </references>
      </pivotArea>
    </chartFormat>
    <chartFormat chart="9" format="18">
      <pivotArea type="data" outline="0" fieldPosition="0">
        <references count="2">
          <reference field="4294967294" count="1" selected="0">
            <x v="0"/>
          </reference>
          <reference field="5" count="1" selected="0">
            <x v="3"/>
          </reference>
        </references>
      </pivotArea>
    </chartFormat>
    <chartFormat chart="9" format="19">
      <pivotArea type="data" outline="0" fieldPosition="0">
        <references count="2">
          <reference field="4294967294" count="1" selected="0">
            <x v="0"/>
          </reference>
          <reference field="5" count="1" selected="0">
            <x v="1"/>
          </reference>
        </references>
      </pivotArea>
    </chartFormat>
    <chartFormat chart="9" format="20">
      <pivotArea type="data" outline="0" fieldPosition="0">
        <references count="2">
          <reference field="4294967294" count="1" selected="0">
            <x v="0"/>
          </reference>
          <reference field="5" count="1" selected="0">
            <x v="4"/>
          </reference>
        </references>
      </pivotArea>
    </chartFormat>
    <chartFormat chart="16" format="28" series="1">
      <pivotArea type="data" outline="0" fieldPosition="0">
        <references count="1">
          <reference field="4294967294" count="1" selected="0">
            <x v="1"/>
          </reference>
        </references>
      </pivotArea>
    </chartFormat>
    <chartFormat chart="16" format="29" series="1">
      <pivotArea type="data" outline="0" fieldPosition="0">
        <references count="1">
          <reference field="4294967294" count="1" selected="0">
            <x v="0"/>
          </reference>
        </references>
      </pivotArea>
    </chartFormat>
    <chartFormat chart="16" format="30">
      <pivotArea type="data" outline="0" fieldPosition="0">
        <references count="2">
          <reference field="4294967294" count="1" selected="0">
            <x v="0"/>
          </reference>
          <reference field="5" count="1" selected="0">
            <x v="2"/>
          </reference>
        </references>
      </pivotArea>
    </chartFormat>
    <chartFormat chart="16" format="31">
      <pivotArea type="data" outline="0" fieldPosition="0">
        <references count="2">
          <reference field="4294967294" count="1" selected="0">
            <x v="0"/>
          </reference>
          <reference field="5" count="1" selected="0">
            <x v="0"/>
          </reference>
        </references>
      </pivotArea>
    </chartFormat>
    <chartFormat chart="16" format="32">
      <pivotArea type="data" outline="0" fieldPosition="0">
        <references count="2">
          <reference field="4294967294" count="1" selected="0">
            <x v="0"/>
          </reference>
          <reference field="5" count="1" selected="0">
            <x v="3"/>
          </reference>
        </references>
      </pivotArea>
    </chartFormat>
    <chartFormat chart="16" format="33">
      <pivotArea type="data" outline="0" fieldPosition="0">
        <references count="2">
          <reference field="4294967294" count="1" selected="0">
            <x v="0"/>
          </reference>
          <reference field="5" count="1" selected="0">
            <x v="1"/>
          </reference>
        </references>
      </pivotArea>
    </chartFormat>
    <chartFormat chart="16" format="34">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2D7E861-B3E5-4989-92AB-031A29AD5F68}" name="PivotTable1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71" firstHeaderRow="0" firstDataRow="0" firstDataCol="0"/>
  <pivotFields count="11">
    <pivotField showAll="0"/>
    <pivotField showAll="0"/>
    <pivotField showAll="0">
      <items count="7">
        <item x="5"/>
        <item x="0"/>
        <item x="1"/>
        <item x="2"/>
        <item x="3"/>
        <item x="4"/>
        <item t="default"/>
      </items>
    </pivotField>
    <pivotField showAll="0"/>
    <pivotField showAll="0">
      <items count="5">
        <item x="1"/>
        <item x="3"/>
        <item x="0"/>
        <item x="2"/>
        <item t="default"/>
      </items>
    </pivotField>
    <pivotField axis="axisRow" showAll="0">
      <items count="6">
        <item x="2"/>
        <item x="0"/>
        <item x="4"/>
        <item x="1"/>
        <item x="3"/>
        <item t="default"/>
      </items>
    </pivotField>
    <pivotField showAll="0">
      <items count="31">
        <item x="25"/>
        <item x="14"/>
        <item x="18"/>
        <item x="22"/>
        <item x="9"/>
        <item x="12"/>
        <item x="11"/>
        <item x="17"/>
        <item x="28"/>
        <item x="13"/>
        <item x="1"/>
        <item x="29"/>
        <item x="15"/>
        <item x="21"/>
        <item x="6"/>
        <item x="0"/>
        <item x="7"/>
        <item x="24"/>
        <item x="5"/>
        <item x="26"/>
        <item x="23"/>
        <item x="10"/>
        <item x="19"/>
        <item x="27"/>
        <item x="4"/>
        <item x="2"/>
        <item x="3"/>
        <item x="16"/>
        <item x="8"/>
        <item x="20"/>
        <item t="default"/>
      </items>
    </pivotField>
    <pivotField dataField="1" showAll="0"/>
    <pivotField showAll="0"/>
    <pivotField showAll="0"/>
    <pivotField axis="axisCol" showAll="0">
      <items count="4">
        <item x="1"/>
        <item x="2"/>
        <item x="0"/>
        <item t="default"/>
      </items>
    </pivotField>
  </pivotFields>
  <rowFields count="1">
    <field x="5"/>
  </rowFields>
  <rowItems count="6">
    <i>
      <x/>
    </i>
    <i>
      <x v="1"/>
    </i>
    <i>
      <x v="2"/>
    </i>
    <i>
      <x v="3"/>
    </i>
    <i>
      <x v="4"/>
    </i>
    <i t="grand">
      <x/>
    </i>
  </rowItems>
  <colFields count="1">
    <field x="10"/>
  </colFields>
  <colItems count="4">
    <i>
      <x/>
    </i>
    <i>
      <x v="1"/>
    </i>
    <i>
      <x v="2"/>
    </i>
    <i t="grand">
      <x/>
    </i>
  </colItems>
  <dataFields count="1">
    <dataField name="Count of Units Sold" fld="7"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81053384-E5BB-4EE3-B06B-26A33ACEC90A}" name="PivotTable1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location ref="I45:J61" firstHeaderRow="1" firstDataRow="1" firstDataCol="1"/>
  <pivotFields count="11">
    <pivotField showAll="0"/>
    <pivotField showAll="0"/>
    <pivotField showAll="0">
      <items count="7">
        <item x="5"/>
        <item x="0"/>
        <item x="1"/>
        <item x="2"/>
        <item x="3"/>
        <item x="4"/>
        <item t="default"/>
      </items>
    </pivotField>
    <pivotField showAll="0"/>
    <pivotField showAll="0">
      <items count="5">
        <item x="1"/>
        <item x="3"/>
        <item x="0"/>
        <item x="2"/>
        <item t="default"/>
      </items>
    </pivotField>
    <pivotField showAll="0">
      <items count="6">
        <item x="2"/>
        <item x="0"/>
        <item x="4"/>
        <item x="1"/>
        <item x="3"/>
        <item t="default"/>
      </items>
    </pivotField>
    <pivotField axis="axisRow" showAll="0" measureFilter="1" sortType="ascending">
      <items count="31">
        <item x="25"/>
        <item x="14"/>
        <item x="18"/>
        <item x="22"/>
        <item x="9"/>
        <item x="12"/>
        <item x="11"/>
        <item x="17"/>
        <item x="28"/>
        <item x="13"/>
        <item x="1"/>
        <item x="29"/>
        <item x="15"/>
        <item x="21"/>
        <item x="6"/>
        <item x="0"/>
        <item x="7"/>
        <item x="24"/>
        <item x="5"/>
        <item x="26"/>
        <item x="23"/>
        <item x="10"/>
        <item x="19"/>
        <item x="27"/>
        <item x="4"/>
        <item x="2"/>
        <item x="3"/>
        <item x="16"/>
        <item x="8"/>
        <item x="2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6"/>
  </rowFields>
  <rowItems count="16">
    <i>
      <x v="16"/>
    </i>
    <i>
      <x v="3"/>
    </i>
    <i>
      <x v="7"/>
    </i>
    <i>
      <x v="29"/>
    </i>
    <i>
      <x v="15"/>
    </i>
    <i>
      <x v="25"/>
    </i>
    <i>
      <x v="21"/>
    </i>
    <i>
      <x v="5"/>
    </i>
    <i>
      <x v="19"/>
    </i>
    <i>
      <x v="23"/>
    </i>
    <i>
      <x v="18"/>
    </i>
    <i>
      <x/>
    </i>
    <i>
      <x v="1"/>
    </i>
    <i>
      <x v="8"/>
    </i>
    <i>
      <x v="10"/>
    </i>
    <i t="grand">
      <x/>
    </i>
  </rowItems>
  <colItems count="1">
    <i/>
  </colItems>
  <dataFields count="1">
    <dataField name="Sum of Revenue ($)" fld="9" baseField="0" baseItem="0"/>
  </dataFields>
  <conditionalFormats count="2">
    <conditionalFormat priority="4">
      <pivotAreas count="1">
        <pivotArea outline="0" axis="axisValues" fieldPosition="0"/>
      </pivotAreas>
    </conditionalFormat>
    <conditionalFormat priority="2">
      <pivotAreas count="1">
        <pivotArea type="data" collapsedLevelsAreSubtotals="1" fieldPosition="0">
          <references count="2">
            <reference field="4294967294" count="1" selected="0">
              <x v="0"/>
            </reference>
            <reference field="6" count="30">
              <x v="0"/>
              <x v="1"/>
              <x v="2"/>
              <x v="3"/>
              <x v="4"/>
              <x v="5"/>
              <x v="6"/>
              <x v="7"/>
              <x v="8"/>
              <x v="9"/>
              <x v="10"/>
              <x v="11"/>
              <x v="12"/>
              <x v="13"/>
              <x v="14"/>
              <x v="15"/>
              <x v="16"/>
              <x v="17"/>
              <x v="18"/>
              <x v="19"/>
              <x v="20"/>
              <x v="21"/>
              <x v="22"/>
              <x v="23"/>
              <x v="24"/>
              <x v="25"/>
              <x v="26"/>
              <x v="27"/>
              <x v="28"/>
              <x v="29"/>
            </reference>
          </references>
        </pivotArea>
      </pivotAreas>
    </conditionalFormat>
  </conditionalFormats>
  <chartFormats count="7">
    <chartFormat chart="3"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4" format="8"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0"/>
          </reference>
        </references>
      </pivotArea>
    </chartFormat>
    <chartFormat chart="18" format="10" series="1">
      <pivotArea type="data" outline="0" fieldPosition="0">
        <references count="1">
          <reference field="4294967294" count="1" selected="0">
            <x v="0"/>
          </reference>
        </references>
      </pivotArea>
    </chartFormat>
    <chartFormat chart="2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valueLessThan" evalOrder="-1" id="2" iMeasureFld="0">
      <autoFilter ref="A1">
        <filterColumn colId="0">
          <customFilters>
            <customFilter operator="lessThan" val="1977"/>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4FB8E01-0778-4D19-B997-0A0C06C569C4}"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7:B62" firstHeaderRow="1" firstDataRow="1" firstDataCol="1"/>
  <pivotFields count="11">
    <pivotField showAll="0"/>
    <pivotField showAll="0"/>
    <pivotField showAll="0">
      <items count="7">
        <item x="5"/>
        <item x="0"/>
        <item x="1"/>
        <item x="2"/>
        <item x="3"/>
        <item x="4"/>
        <item t="default"/>
      </items>
    </pivotField>
    <pivotField axis="axisRow" showAll="0" sortType="descending">
      <items count="13">
        <item x="2"/>
        <item x="10"/>
        <item x="1"/>
        <item x="5"/>
        <item x="8"/>
        <item x="11"/>
        <item x="9"/>
        <item x="6"/>
        <item x="4"/>
        <item x="7"/>
        <item x="0"/>
        <item x="3"/>
        <item t="default"/>
      </items>
      <autoSortScope>
        <pivotArea dataOnly="0" outline="0" fieldPosition="0">
          <references count="1">
            <reference field="4294967294" count="1" selected="0">
              <x v="0"/>
            </reference>
          </references>
        </pivotArea>
      </autoSortScope>
    </pivotField>
    <pivotField axis="axisRow" showAll="0">
      <items count="5">
        <item x="1"/>
        <item x="3"/>
        <item x="0"/>
        <item x="2"/>
        <item t="default"/>
      </items>
    </pivotField>
    <pivotField showAll="0">
      <items count="6">
        <item x="2"/>
        <item x="0"/>
        <item x="4"/>
        <item x="1"/>
        <item x="3"/>
        <item t="default"/>
      </items>
    </pivotField>
    <pivotField showAll="0"/>
    <pivotField showAll="0"/>
    <pivotField showAll="0"/>
    <pivotField dataField="1" showAll="0"/>
    <pivotField showAll="0"/>
  </pivotFields>
  <rowFields count="2">
    <field x="3"/>
    <field x="4"/>
  </rowFields>
  <rowItems count="25">
    <i>
      <x v="5"/>
    </i>
    <i r="1">
      <x v="1"/>
    </i>
    <i>
      <x v="3"/>
    </i>
    <i r="1">
      <x/>
    </i>
    <i>
      <x v="7"/>
    </i>
    <i r="1">
      <x v="3"/>
    </i>
    <i>
      <x v="10"/>
    </i>
    <i r="1">
      <x v="2"/>
    </i>
    <i>
      <x v="9"/>
    </i>
    <i r="1">
      <x v="1"/>
    </i>
    <i>
      <x v="2"/>
    </i>
    <i r="1">
      <x/>
    </i>
    <i>
      <x v="6"/>
    </i>
    <i r="1">
      <x/>
    </i>
    <i>
      <x v="11"/>
    </i>
    <i r="1">
      <x v="1"/>
    </i>
    <i>
      <x v="8"/>
    </i>
    <i r="1">
      <x v="2"/>
    </i>
    <i>
      <x v="1"/>
    </i>
    <i r="1">
      <x v="3"/>
    </i>
    <i>
      <x v="4"/>
    </i>
    <i r="1">
      <x v="2"/>
    </i>
    <i>
      <x/>
    </i>
    <i r="1">
      <x v="3"/>
    </i>
    <i t="grand">
      <x/>
    </i>
  </rowItems>
  <colItems count="1">
    <i/>
  </colItems>
  <dataFields count="1">
    <dataField name="Sum of Revenue ($)" fld="9"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1">
          <x14:conditionalFormat priority="5" id="{6FCE69C6-6924-4E71-ADAA-CFD839E5F246}">
            <x14:pivotAreas count="1">
              <pivotArea type="data" collapsedLevelsAreSubtotals="1" fieldPosition="0">
                <references count="2">
                  <reference field="4294967294" count="1" selected="0">
                    <x v="0"/>
                  </reference>
                  <reference field="3" count="12">
                    <x v="0"/>
                    <x v="1"/>
                    <x v="2"/>
                    <x v="3"/>
                    <x v="4"/>
                    <x v="5"/>
                    <x v="6"/>
                    <x v="7"/>
                    <x v="8"/>
                    <x v="9"/>
                    <x v="10"/>
                    <x v="11"/>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80025C1-41CB-436E-B84A-BFC5D7575AC2}"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7:H64" firstHeaderRow="1" firstDataRow="1" firstDataCol="0"/>
  <pivotFields count="11">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EA6347F1-7C8A-42E7-BED7-07B9D850EE6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8:G45" firstHeaderRow="1" firstDataRow="1" firstDataCol="1"/>
  <pivotFields count="11">
    <pivotField showAll="0"/>
    <pivotField showAll="0"/>
    <pivotField axis="axisRow" showAll="0">
      <items count="7">
        <item x="5"/>
        <item x="0"/>
        <item x="1"/>
        <item x="2"/>
        <item x="3"/>
        <item x="4"/>
        <item t="default"/>
      </items>
    </pivotField>
    <pivotField showAll="0"/>
    <pivotField showAll="0">
      <items count="5">
        <item x="1"/>
        <item x="3"/>
        <item x="0"/>
        <item x="2"/>
        <item t="default"/>
      </items>
    </pivotField>
    <pivotField showAll="0">
      <items count="6">
        <item x="2"/>
        <item x="0"/>
        <item x="4"/>
        <item x="1"/>
        <item x="3"/>
        <item t="default"/>
      </items>
    </pivotField>
    <pivotField showAll="0"/>
    <pivotField showAll="0"/>
    <pivotField showAll="0"/>
    <pivotField dataField="1" showAll="0"/>
    <pivotField showAll="0"/>
  </pivotFields>
  <rowFields count="1">
    <field x="2"/>
  </rowFields>
  <rowItems count="7">
    <i>
      <x/>
    </i>
    <i>
      <x v="1"/>
    </i>
    <i>
      <x v="2"/>
    </i>
    <i>
      <x v="3"/>
    </i>
    <i>
      <x v="4"/>
    </i>
    <i>
      <x v="5"/>
    </i>
    <i t="grand">
      <x/>
    </i>
  </rowItems>
  <colItems count="1">
    <i/>
  </colItems>
  <dataFields count="1">
    <dataField name="Sum of Revenue ($)" fld="9"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752DE059-7065-4F81-9F57-99EC3C55F0AB}"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80:J311" firstHeaderRow="1" firstDataRow="1" firstDataCol="1"/>
  <pivotFields count="11">
    <pivotField showAll="0"/>
    <pivotField axis="axisRow" showAll="0">
      <items count="85">
        <item x="83"/>
        <item x="29"/>
        <item x="59"/>
        <item x="5"/>
        <item x="35"/>
        <item x="65"/>
        <item x="11"/>
        <item x="41"/>
        <item x="71"/>
        <item x="17"/>
        <item x="47"/>
        <item x="77"/>
        <item x="23"/>
        <item x="53"/>
        <item x="0"/>
        <item x="30"/>
        <item x="60"/>
        <item x="6"/>
        <item x="36"/>
        <item x="66"/>
        <item x="12"/>
        <item x="42"/>
        <item x="72"/>
        <item x="18"/>
        <item x="48"/>
        <item x="78"/>
        <item x="24"/>
        <item x="54"/>
        <item x="55"/>
        <item x="1"/>
        <item x="31"/>
        <item x="61"/>
        <item x="7"/>
        <item x="37"/>
        <item x="67"/>
        <item x="13"/>
        <item x="43"/>
        <item x="73"/>
        <item x="19"/>
        <item x="49"/>
        <item x="79"/>
        <item x="25"/>
        <item x="56"/>
        <item x="2"/>
        <item x="32"/>
        <item x="62"/>
        <item x="8"/>
        <item x="38"/>
        <item x="68"/>
        <item x="14"/>
        <item x="44"/>
        <item x="74"/>
        <item x="20"/>
        <item x="50"/>
        <item x="80"/>
        <item x="26"/>
        <item x="27"/>
        <item x="57"/>
        <item x="3"/>
        <item x="33"/>
        <item x="63"/>
        <item x="9"/>
        <item x="39"/>
        <item x="69"/>
        <item x="15"/>
        <item x="45"/>
        <item x="75"/>
        <item x="21"/>
        <item x="51"/>
        <item x="81"/>
        <item x="28"/>
        <item x="58"/>
        <item x="4"/>
        <item x="34"/>
        <item x="64"/>
        <item x="10"/>
        <item x="40"/>
        <item x="70"/>
        <item x="16"/>
        <item x="46"/>
        <item x="76"/>
        <item x="22"/>
        <item x="52"/>
        <item x="82"/>
        <item t="default"/>
      </items>
    </pivotField>
    <pivotField showAll="0">
      <items count="7">
        <item x="5"/>
        <item x="0"/>
        <item x="1"/>
        <item x="2"/>
        <item x="3"/>
        <item x="4"/>
        <item t="default"/>
      </items>
    </pivotField>
    <pivotField showAll="0"/>
    <pivotField showAll="0">
      <items count="5">
        <item x="1"/>
        <item x="3"/>
        <item x="0"/>
        <item x="2"/>
        <item t="default"/>
      </items>
    </pivotField>
    <pivotField showAll="0">
      <items count="6">
        <item x="2"/>
        <item x="0"/>
        <item x="4"/>
        <item x="1"/>
        <item x="3"/>
        <item t="default"/>
      </items>
    </pivotField>
    <pivotField axis="axisRow" showAll="0">
      <items count="31">
        <item x="25"/>
        <item x="14"/>
        <item x="18"/>
        <item x="22"/>
        <item x="9"/>
        <item x="12"/>
        <item x="11"/>
        <item x="17"/>
        <item x="28"/>
        <item x="13"/>
        <item x="1"/>
        <item x="29"/>
        <item x="15"/>
        <item x="21"/>
        <item x="6"/>
        <item x="0"/>
        <item x="7"/>
        <item x="24"/>
        <item x="5"/>
        <item x="26"/>
        <item x="23"/>
        <item x="10"/>
        <item x="19"/>
        <item x="27"/>
        <item x="4"/>
        <item x="2"/>
        <item x="3"/>
        <item x="16"/>
        <item x="8"/>
        <item x="20"/>
        <item t="default"/>
      </items>
    </pivotField>
    <pivotField showAll="0"/>
    <pivotField showAll="0"/>
    <pivotField showAll="0"/>
    <pivotField showAll="0"/>
  </pivotFields>
  <rowFields count="2">
    <field x="6"/>
    <field x="1"/>
  </rowFields>
  <rowItems count="231">
    <i>
      <x/>
    </i>
    <i r="1">
      <x v="28"/>
    </i>
    <i r="1">
      <x v="29"/>
    </i>
    <i r="1">
      <x v="30"/>
    </i>
    <i r="1">
      <x v="31"/>
    </i>
    <i r="1">
      <x v="32"/>
    </i>
    <i r="1">
      <x v="41"/>
    </i>
    <i>
      <x v="1"/>
    </i>
    <i r="1">
      <x v="49"/>
    </i>
    <i r="1">
      <x v="50"/>
    </i>
    <i r="1">
      <x v="51"/>
    </i>
    <i r="1">
      <x v="52"/>
    </i>
    <i r="1">
      <x v="53"/>
    </i>
    <i r="1">
      <x v="54"/>
    </i>
    <i r="1">
      <x v="55"/>
    </i>
    <i>
      <x v="2"/>
    </i>
    <i r="1">
      <x v="14"/>
    </i>
    <i r="1">
      <x v="15"/>
    </i>
    <i r="1">
      <x v="23"/>
    </i>
    <i r="1">
      <x v="24"/>
    </i>
    <i r="1">
      <x v="25"/>
    </i>
    <i r="1">
      <x v="26"/>
    </i>
    <i r="1">
      <x v="27"/>
    </i>
    <i>
      <x v="3"/>
    </i>
    <i r="1">
      <x v="70"/>
    </i>
    <i r="1">
      <x v="71"/>
    </i>
    <i r="1">
      <x v="72"/>
    </i>
    <i r="1">
      <x v="81"/>
    </i>
    <i r="1">
      <x v="82"/>
    </i>
    <i r="1">
      <x v="83"/>
    </i>
    <i>
      <x v="4"/>
    </i>
    <i r="1">
      <x v="61"/>
    </i>
    <i r="1">
      <x v="62"/>
    </i>
    <i r="1">
      <x v="63"/>
    </i>
    <i r="1">
      <x v="64"/>
    </i>
    <i r="1">
      <x v="65"/>
    </i>
    <i r="1">
      <x v="66"/>
    </i>
    <i r="1">
      <x v="67"/>
    </i>
    <i>
      <x v="5"/>
    </i>
    <i r="1">
      <x v="20"/>
    </i>
    <i r="1">
      <x v="21"/>
    </i>
    <i r="1">
      <x v="22"/>
    </i>
    <i r="1">
      <x v="23"/>
    </i>
    <i r="1">
      <x v="24"/>
    </i>
    <i r="1">
      <x v="25"/>
    </i>
    <i r="1">
      <x v="26"/>
    </i>
    <i>
      <x v="6"/>
    </i>
    <i r="1">
      <x v="6"/>
    </i>
    <i r="1">
      <x v="7"/>
    </i>
    <i r="1">
      <x v="8"/>
    </i>
    <i r="1">
      <x v="9"/>
    </i>
    <i r="1">
      <x v="10"/>
    </i>
    <i r="1">
      <x v="11"/>
    </i>
    <i r="1">
      <x v="12"/>
    </i>
    <i>
      <x v="7"/>
    </i>
    <i r="1">
      <x/>
    </i>
    <i r="1">
      <x v="1"/>
    </i>
    <i r="1">
      <x v="9"/>
    </i>
    <i r="1">
      <x v="10"/>
    </i>
    <i r="1">
      <x v="11"/>
    </i>
    <i r="1">
      <x v="12"/>
    </i>
    <i r="1">
      <x v="13"/>
    </i>
    <i>
      <x v="8"/>
    </i>
    <i r="1">
      <x v="70"/>
    </i>
    <i r="1">
      <x v="71"/>
    </i>
    <i r="1">
      <x v="72"/>
    </i>
    <i r="1">
      <x v="73"/>
    </i>
    <i r="1">
      <x v="74"/>
    </i>
    <i r="1">
      <x v="75"/>
    </i>
    <i>
      <x v="9"/>
    </i>
    <i r="1">
      <x v="35"/>
    </i>
    <i r="1">
      <x v="36"/>
    </i>
    <i r="1">
      <x v="37"/>
    </i>
    <i r="1">
      <x v="38"/>
    </i>
    <i r="1">
      <x v="39"/>
    </i>
    <i r="1">
      <x v="40"/>
    </i>
    <i r="1">
      <x v="41"/>
    </i>
    <i>
      <x v="10"/>
    </i>
    <i r="1">
      <x v="29"/>
    </i>
    <i r="1">
      <x v="30"/>
    </i>
    <i r="1">
      <x v="31"/>
    </i>
    <i r="1">
      <x v="32"/>
    </i>
    <i r="1">
      <x v="33"/>
    </i>
    <i r="1">
      <x v="34"/>
    </i>
    <i r="1">
      <x v="35"/>
    </i>
    <i>
      <x v="11"/>
    </i>
    <i r="1">
      <x v="1"/>
    </i>
    <i r="1">
      <x v="2"/>
    </i>
    <i r="1">
      <x v="3"/>
    </i>
    <i r="1">
      <x v="4"/>
    </i>
    <i r="1">
      <x v="5"/>
    </i>
    <i r="1">
      <x v="6"/>
    </i>
    <i>
      <x v="12"/>
    </i>
    <i r="1">
      <x v="56"/>
    </i>
    <i r="1">
      <x v="64"/>
    </i>
    <i r="1">
      <x v="65"/>
    </i>
    <i r="1">
      <x v="66"/>
    </i>
    <i r="1">
      <x v="67"/>
    </i>
    <i r="1">
      <x v="68"/>
    </i>
    <i r="1">
      <x v="69"/>
    </i>
    <i>
      <x v="13"/>
    </i>
    <i r="1">
      <x v="56"/>
    </i>
    <i r="1">
      <x v="57"/>
    </i>
    <i r="1">
      <x v="58"/>
    </i>
    <i r="1">
      <x v="67"/>
    </i>
    <i r="1">
      <x v="68"/>
    </i>
    <i r="1">
      <x v="69"/>
    </i>
    <i>
      <x v="14"/>
    </i>
    <i r="1">
      <x v="17"/>
    </i>
    <i r="1">
      <x v="18"/>
    </i>
    <i r="1">
      <x v="19"/>
    </i>
    <i r="1">
      <x v="20"/>
    </i>
    <i r="1">
      <x v="21"/>
    </i>
    <i r="1">
      <x v="22"/>
    </i>
    <i r="1">
      <x v="23"/>
    </i>
    <i>
      <x v="15"/>
    </i>
    <i r="1">
      <x v="14"/>
    </i>
    <i r="1">
      <x v="15"/>
    </i>
    <i r="1">
      <x v="16"/>
    </i>
    <i r="1">
      <x v="17"/>
    </i>
    <i r="1">
      <x v="18"/>
    </i>
    <i r="1">
      <x v="19"/>
    </i>
    <i r="1">
      <x v="20"/>
    </i>
    <i>
      <x v="16"/>
    </i>
    <i r="1">
      <x v="32"/>
    </i>
    <i r="1">
      <x v="33"/>
    </i>
    <i r="1">
      <x v="34"/>
    </i>
    <i r="1">
      <x v="35"/>
    </i>
    <i r="1">
      <x v="36"/>
    </i>
    <i r="1">
      <x v="37"/>
    </i>
    <i r="1">
      <x v="38"/>
    </i>
    <i>
      <x v="17"/>
    </i>
    <i r="1">
      <x v="14"/>
    </i>
    <i r="1">
      <x v="15"/>
    </i>
    <i r="1">
      <x v="16"/>
    </i>
    <i r="1">
      <x v="17"/>
    </i>
    <i r="1">
      <x v="26"/>
    </i>
    <i r="1">
      <x v="27"/>
    </i>
    <i>
      <x v="18"/>
    </i>
    <i r="1">
      <x v="3"/>
    </i>
    <i r="1">
      <x v="4"/>
    </i>
    <i r="1">
      <x v="5"/>
    </i>
    <i r="1">
      <x v="6"/>
    </i>
    <i r="1">
      <x v="7"/>
    </i>
    <i r="1">
      <x v="8"/>
    </i>
    <i r="1">
      <x v="9"/>
    </i>
    <i>
      <x v="19"/>
    </i>
    <i r="1">
      <x v="42"/>
    </i>
    <i r="1">
      <x v="43"/>
    </i>
    <i r="1">
      <x v="44"/>
    </i>
    <i r="1">
      <x v="45"/>
    </i>
    <i r="1">
      <x v="46"/>
    </i>
    <i r="1">
      <x v="55"/>
    </i>
    <i>
      <x v="20"/>
    </i>
    <i r="1">
      <x/>
    </i>
    <i r="1">
      <x v="1"/>
    </i>
    <i r="1">
      <x v="2"/>
    </i>
    <i r="1">
      <x v="3"/>
    </i>
    <i r="1">
      <x v="12"/>
    </i>
    <i r="1">
      <x v="13"/>
    </i>
    <i>
      <x v="21"/>
    </i>
    <i r="1">
      <x v="75"/>
    </i>
    <i r="1">
      <x v="76"/>
    </i>
    <i r="1">
      <x v="77"/>
    </i>
    <i r="1">
      <x v="78"/>
    </i>
    <i r="1">
      <x v="79"/>
    </i>
    <i r="1">
      <x v="80"/>
    </i>
    <i r="1">
      <x v="81"/>
    </i>
    <i>
      <x v="22"/>
    </i>
    <i r="1">
      <x v="28"/>
    </i>
    <i r="1">
      <x v="29"/>
    </i>
    <i r="1">
      <x v="30"/>
    </i>
    <i r="1">
      <x v="38"/>
    </i>
    <i r="1">
      <x v="39"/>
    </i>
    <i r="1">
      <x v="40"/>
    </i>
    <i r="1">
      <x v="41"/>
    </i>
    <i>
      <x v="23"/>
    </i>
    <i r="1">
      <x v="56"/>
    </i>
    <i r="1">
      <x v="57"/>
    </i>
    <i r="1">
      <x v="58"/>
    </i>
    <i r="1">
      <x v="59"/>
    </i>
    <i r="1">
      <x v="60"/>
    </i>
    <i r="1">
      <x v="61"/>
    </i>
    <i>
      <x v="24"/>
    </i>
    <i r="1">
      <x v="72"/>
    </i>
    <i r="1">
      <x v="73"/>
    </i>
    <i r="1">
      <x v="74"/>
    </i>
    <i r="1">
      <x v="75"/>
    </i>
    <i r="1">
      <x v="76"/>
    </i>
    <i r="1">
      <x v="77"/>
    </i>
    <i r="1">
      <x v="78"/>
    </i>
    <i>
      <x v="25"/>
    </i>
    <i r="1">
      <x v="43"/>
    </i>
    <i r="1">
      <x v="44"/>
    </i>
    <i r="1">
      <x v="45"/>
    </i>
    <i r="1">
      <x v="46"/>
    </i>
    <i r="1">
      <x v="47"/>
    </i>
    <i r="1">
      <x v="48"/>
    </i>
    <i r="1">
      <x v="49"/>
    </i>
    <i>
      <x v="26"/>
    </i>
    <i r="1">
      <x v="58"/>
    </i>
    <i r="1">
      <x v="59"/>
    </i>
    <i r="1">
      <x v="60"/>
    </i>
    <i r="1">
      <x v="61"/>
    </i>
    <i r="1">
      <x v="62"/>
    </i>
    <i r="1">
      <x v="63"/>
    </i>
    <i r="1">
      <x v="64"/>
    </i>
    <i>
      <x v="27"/>
    </i>
    <i r="1">
      <x v="70"/>
    </i>
    <i r="1">
      <x v="78"/>
    </i>
    <i r="1">
      <x v="79"/>
    </i>
    <i r="1">
      <x v="80"/>
    </i>
    <i r="1">
      <x v="81"/>
    </i>
    <i r="1">
      <x v="82"/>
    </i>
    <i r="1">
      <x v="83"/>
    </i>
    <i>
      <x v="28"/>
    </i>
    <i r="1">
      <x v="46"/>
    </i>
    <i r="1">
      <x v="47"/>
    </i>
    <i r="1">
      <x v="48"/>
    </i>
    <i r="1">
      <x v="49"/>
    </i>
    <i r="1">
      <x v="50"/>
    </i>
    <i r="1">
      <x v="51"/>
    </i>
    <i r="1">
      <x v="52"/>
    </i>
    <i>
      <x v="29"/>
    </i>
    <i r="1">
      <x v="42"/>
    </i>
    <i r="1">
      <x v="43"/>
    </i>
    <i r="1">
      <x v="52"/>
    </i>
    <i r="1">
      <x v="53"/>
    </i>
    <i r="1">
      <x v="54"/>
    </i>
    <i r="1">
      <x v="5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4</v>
    <v>8</v>
    <v>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08B8CCD-CCC9-4C88-A91E-A8BDF1D8D81F}" sourceName="Product">
  <pivotTables>
    <pivotTable tabId="12" name="PivotTable14"/>
  </pivotTables>
  <data>
    <tabular pivotCacheId="1280660641">
      <items count="30">
        <i x="25" s="1"/>
        <i x="14" s="1"/>
        <i x="18" s="1"/>
        <i x="22" s="1"/>
        <i x="9" s="1"/>
        <i x="12" s="1"/>
        <i x="11" s="1"/>
        <i x="17" s="1"/>
        <i x="28" s="1"/>
        <i x="13" s="1"/>
        <i x="1" s="1"/>
        <i x="29" s="1"/>
        <i x="15" s="1"/>
        <i x="21" s="1"/>
        <i x="6" s="1"/>
        <i x="0" s="1"/>
        <i x="7" s="1"/>
        <i x="24" s="1"/>
        <i x="5" s="1"/>
        <i x="26" s="1"/>
        <i x="23" s="1"/>
        <i x="10" s="1"/>
        <i x="19" s="1"/>
        <i x="27" s="1"/>
        <i x="4" s="1"/>
        <i x="2" s="1"/>
        <i x="3" s="1"/>
        <i x="16" s="1"/>
        <i x="8" s="1"/>
        <i x="2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C15321CA-7416-4502-8E88-8F2FDD32E1E2}" sourceName="Customer Segment">
  <pivotTables>
    <pivotTable tabId="12" name="PivotTable14"/>
  </pivotTables>
  <data>
    <tabular pivotCacheId="1280660641">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1" xr10:uid="{2D4EB3F7-669C-425B-B675-AAD7C1F490D2}" sourceName="Customer Segment">
  <pivotTables>
    <pivotTable tabId="12" name="PivotTable15"/>
  </pivotTables>
  <data>
    <tabular pivotCacheId="1280660641">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DDD0751C-BFE7-44B4-ABEC-CE39C326AE48}" sourceName="Sales Rep">
  <pivotTables>
    <pivotTable tabId="12" name="PivotTable7"/>
  </pivotTables>
  <data>
    <tabular pivotCacheId="1280660641">
      <items count="12">
        <i x="2" s="1"/>
        <i x="10" s="1"/>
        <i x="1" s="1"/>
        <i x="5" s="1"/>
        <i x="8" s="1"/>
        <i x="11" s="1"/>
        <i x="9" s="1"/>
        <i x="6" s="1"/>
        <i x="4" s="1"/>
        <i x="7"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C5EB5C5-8CF5-474E-9E40-7F2FD2114A8B}" sourceName="Region">
  <pivotTables>
    <pivotTable tabId="12" name="PivotTable6"/>
    <pivotTable tabId="8" name="PivotTable1"/>
    <pivotTable tabId="12" name="PivotTable1"/>
    <pivotTable tabId="12" name="PivotTable10"/>
    <pivotTable tabId="12" name="PivotTable11"/>
    <pivotTable tabId="12" name="PivotTable12"/>
    <pivotTable tabId="12" name="PivotTable13"/>
    <pivotTable tabId="12" name="PivotTable14"/>
    <pivotTable tabId="12" name="PivotTable15"/>
    <pivotTable tabId="12" name="PivotTable16"/>
    <pivotTable tabId="12" name="PivotTable17"/>
    <pivotTable tabId="12" name="PivotTable18"/>
    <pivotTable tabId="12" name="PivotTable19"/>
    <pivotTable tabId="12" name="PivotTable2"/>
    <pivotTable tabId="12" name="PivotTable20"/>
    <pivotTable tabId="12" name="PivotTable3"/>
    <pivotTable tabId="12" name="PivotTable4"/>
    <pivotTable tabId="12" name="PivotTable7"/>
    <pivotTable tabId="12" name="PivotTable8"/>
    <pivotTable tabId="12" name="PivotTable9"/>
  </pivotTables>
  <data>
    <tabular pivotCacheId="1280660641">
      <items count="4">
        <i x="1" s="1"/>
        <i x="3" s="1"/>
        <i x="0"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2" xr10:uid="{F3643C33-9FF6-4757-A5FD-B9A2B78FD276}" sourceName="Month">
  <pivotTables>
    <pivotTable tabId="12" name="PivotTable6"/>
    <pivotTable tabId="12" name="PivotTable1"/>
    <pivotTable tabId="12" name="PivotTable10"/>
    <pivotTable tabId="12" name="PivotTable11"/>
    <pivotTable tabId="12" name="PivotTable12"/>
    <pivotTable tabId="12" name="PivotTable13"/>
    <pivotTable tabId="12" name="PivotTable14"/>
    <pivotTable tabId="12" name="PivotTable15"/>
    <pivotTable tabId="12" name="PivotTable16"/>
    <pivotTable tabId="12" name="PivotTable17"/>
    <pivotTable tabId="12" name="PivotTable18"/>
    <pivotTable tabId="12" name="PivotTable19"/>
    <pivotTable tabId="12" name="PivotTable2"/>
    <pivotTable tabId="12" name="PivotTable20"/>
    <pivotTable tabId="12" name="PivotTable3"/>
    <pivotTable tabId="12" name="PivotTable4"/>
    <pivotTable tabId="12" name="PivotTable7"/>
    <pivotTable tabId="12" name="PivotTable8"/>
    <pivotTable tabId="12" name="PivotTable9"/>
    <pivotTable tabId="8" name="PivotTable1"/>
  </pivotTables>
  <data>
    <tabular pivotCacheId="1280660641">
      <items count="6">
        <i x="5" s="1"/>
        <i x="0" s="1"/>
        <i x="1" s="1"/>
        <i x="2" s="1"/>
        <i x="3" s="1"/>
        <i x="4"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8399B3B2-3BDB-4455-A9C7-1F3C21E5AA1D}" sourceName="Product Category">
  <pivotTables>
    <pivotTable tabId="12" name="PivotTable6"/>
    <pivotTable tabId="12" name="PivotTable1"/>
    <pivotTable tabId="12" name="PivotTable10"/>
    <pivotTable tabId="12" name="PivotTable11"/>
    <pivotTable tabId="12" name="PivotTable12"/>
    <pivotTable tabId="12" name="PivotTable13"/>
    <pivotTable tabId="12" name="PivotTable14"/>
    <pivotTable tabId="12" name="PivotTable15"/>
    <pivotTable tabId="12" name="PivotTable16"/>
    <pivotTable tabId="12" name="PivotTable17"/>
    <pivotTable tabId="12" name="PivotTable18"/>
    <pivotTable tabId="12" name="PivotTable19"/>
    <pivotTable tabId="12" name="PivotTable2"/>
    <pivotTable tabId="12" name="PivotTable20"/>
    <pivotTable tabId="12" name="PivotTable3"/>
    <pivotTable tabId="12" name="PivotTable4"/>
    <pivotTable tabId="12" name="PivotTable7"/>
    <pivotTable tabId="12" name="PivotTable8"/>
    <pivotTable tabId="12" name="PivotTable9"/>
    <pivotTable tabId="8" name="PivotTable1"/>
  </pivotTables>
  <data>
    <tabular pivotCacheId="1280660641">
      <items count="5">
        <i x="2" s="1"/>
        <i x="0" s="1"/>
        <i x="4"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4AD3A70-1F29-42A0-AE37-E1302484407B}"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Rep" xr10:uid="{DF5617E7-4B64-4959-AA37-7FB91EB4450B}" cache="Slicer_Sales_Rep" caption="Sales Rep" rowHeight="241300"/>
  <slicer name="Month 1" xr10:uid="{B9523FAB-532F-47FE-B40C-491F70185AD0}" cache="Slicer_Month2" caption="Month"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D1BAE154-2D57-48F3-B32E-74B3DB67ADF5}" cache="Slicer_Region" caption="Region" rowHeight="241300"/>
  <slicer name="Month 3" xr10:uid="{F8120067-4D75-44F0-AC3E-04831C5F8C83}" cache="Slicer_Month2" caption="Month" rowHeight="241300"/>
  <slicer name="Product Category 1" xr10:uid="{00F5CD0A-0956-4051-B62D-AFA35FBB62A6}" cache="Slicer_Product_Category" caption="Product Category"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CB9F51F5-FB24-4A07-AE7C-0AA3CFC9AF2F}" cache="Slicer_Region" caption="Region" style="Slicer Style 9" rowHeight="241300"/>
  <slicer name="Month 4" xr10:uid="{9D65C0DC-5023-407D-9753-F0133E3ED591}" cache="Slicer_Month2" caption="Month" style="Slicer Style 9" rowHeight="241300"/>
  <slicer name="Product Category 2" xr10:uid="{BD12179C-7E04-46B8-8248-9D8B48B64B4F}" cache="Slicer_Product_Category" caption="Product Category" style="Slicer Style 9"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1563ECD0-B0AF-4D6E-A6B9-3396EA345FA9}" cache="Slicer_Product" caption="Product" startItem="22" rowHeight="241300"/>
  <slicer name="Customer Segment" xr10:uid="{19A323AB-5E74-4B33-BE60-87B806A71E1F}" cache="Slicer_Customer_Segment" caption="Customer Segment" rowHeight="241300"/>
  <slicer name="Customer Segment 1" xr10:uid="{313DD23B-ACD8-4689-B1D1-DA9F4C2A5ABA}" cache="Slicer_Customer_Segment1" caption="Customer Segment" rowHeight="241300"/>
  <slicer name="Region 1" xr10:uid="{28350746-3725-4F94-A30F-637A6F9263CC}" cache="Slicer_Region" caption="Region" rowHeight="241300"/>
  <slicer name="Month" xr10:uid="{25573132-8380-4DD2-B41F-305FC49F5B30}" cache="Slicer_Month2" caption="Month" rowHeight="241300"/>
  <slicer name="Month 2" xr10:uid="{9F513CD2-BCED-445F-B59B-37A5BE2CDD03}" cache="Slicer_Month2" caption="Month" rowHeight="241300"/>
  <slicer name="Product Category" xr10:uid="{D2467ADB-F81F-4612-BF3C-24CC95EE9C9C}" cache="Slicer_Product_Category" caption="Product 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microsoft.com/office/2007/relationships/slicer" Target="../slicers/slicer3.xml"/><Relationship Id="rId5" Type="http://schemas.openxmlformats.org/officeDocument/2006/relationships/drawing" Target="../drawings/drawing5.xml"/><Relationship Id="rId4"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8" Type="http://schemas.openxmlformats.org/officeDocument/2006/relationships/pivotTable" Target="../pivotTables/pivotTable13.xml"/><Relationship Id="rId13" Type="http://schemas.openxmlformats.org/officeDocument/2006/relationships/pivotTable" Target="../pivotTables/pivotTable18.xml"/><Relationship Id="rId18" Type="http://schemas.openxmlformats.org/officeDocument/2006/relationships/pivotTable" Target="../pivotTables/pivotTable23.xml"/><Relationship Id="rId3" Type="http://schemas.openxmlformats.org/officeDocument/2006/relationships/pivotTable" Target="../pivotTables/pivotTable8.xml"/><Relationship Id="rId21" Type="http://schemas.openxmlformats.org/officeDocument/2006/relationships/drawing" Target="../drawings/drawing8.xml"/><Relationship Id="rId7" Type="http://schemas.openxmlformats.org/officeDocument/2006/relationships/pivotTable" Target="../pivotTables/pivotTable12.xml"/><Relationship Id="rId12" Type="http://schemas.openxmlformats.org/officeDocument/2006/relationships/pivotTable" Target="../pivotTables/pivotTable17.xml"/><Relationship Id="rId17" Type="http://schemas.openxmlformats.org/officeDocument/2006/relationships/pivotTable" Target="../pivotTables/pivotTable22.xml"/><Relationship Id="rId2" Type="http://schemas.openxmlformats.org/officeDocument/2006/relationships/pivotTable" Target="../pivotTables/pivotTable7.xml"/><Relationship Id="rId16" Type="http://schemas.openxmlformats.org/officeDocument/2006/relationships/pivotTable" Target="../pivotTables/pivotTable21.xml"/><Relationship Id="rId20" Type="http://schemas.openxmlformats.org/officeDocument/2006/relationships/pivotTable" Target="../pivotTables/pivotTable25.xml"/><Relationship Id="rId1" Type="http://schemas.openxmlformats.org/officeDocument/2006/relationships/pivotTable" Target="../pivotTables/pivotTable6.xml"/><Relationship Id="rId6" Type="http://schemas.openxmlformats.org/officeDocument/2006/relationships/pivotTable" Target="../pivotTables/pivotTable11.xml"/><Relationship Id="rId11" Type="http://schemas.openxmlformats.org/officeDocument/2006/relationships/pivotTable" Target="../pivotTables/pivotTable16.xml"/><Relationship Id="rId5" Type="http://schemas.openxmlformats.org/officeDocument/2006/relationships/pivotTable" Target="../pivotTables/pivotTable10.xml"/><Relationship Id="rId15" Type="http://schemas.openxmlformats.org/officeDocument/2006/relationships/pivotTable" Target="../pivotTables/pivotTable20.xml"/><Relationship Id="rId10" Type="http://schemas.openxmlformats.org/officeDocument/2006/relationships/pivotTable" Target="../pivotTables/pivotTable15.xml"/><Relationship Id="rId19" Type="http://schemas.openxmlformats.org/officeDocument/2006/relationships/pivotTable" Target="../pivotTables/pivotTable24.xml"/><Relationship Id="rId4" Type="http://schemas.openxmlformats.org/officeDocument/2006/relationships/pivotTable" Target="../pivotTables/pivotTable9.xml"/><Relationship Id="rId9" Type="http://schemas.openxmlformats.org/officeDocument/2006/relationships/pivotTable" Target="../pivotTables/pivotTable14.xml"/><Relationship Id="rId14" Type="http://schemas.openxmlformats.org/officeDocument/2006/relationships/pivotTable" Target="../pivotTables/pivotTable19.xml"/><Relationship Id="rId22" Type="http://schemas.microsoft.com/office/2007/relationships/slicer" Target="../slicers/slicer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9F8E6-03BE-4857-914C-CA00FC732BD3}">
  <dimension ref="A3:B16"/>
  <sheetViews>
    <sheetView workbookViewId="0">
      <selection activeCell="I45" sqref="I45"/>
    </sheetView>
  </sheetViews>
  <sheetFormatPr defaultRowHeight="15" x14ac:dyDescent="0.25"/>
  <cols>
    <col min="1" max="1" width="16.5703125" bestFit="1" customWidth="1"/>
    <col min="2" max="2" width="18.5703125" bestFit="1" customWidth="1"/>
    <col min="3" max="3" width="16.7109375" bestFit="1" customWidth="1"/>
  </cols>
  <sheetData>
    <row r="3" spans="1:2" x14ac:dyDescent="0.25">
      <c r="A3" s="11" t="s">
        <v>562</v>
      </c>
      <c r="B3" t="s">
        <v>564</v>
      </c>
    </row>
    <row r="4" spans="1:2" x14ac:dyDescent="0.25">
      <c r="A4" s="12" t="s">
        <v>42</v>
      </c>
      <c r="B4">
        <v>47108</v>
      </c>
    </row>
    <row r="5" spans="1:2" x14ac:dyDescent="0.25">
      <c r="A5" s="12" t="s">
        <v>48</v>
      </c>
      <c r="B5">
        <v>38960</v>
      </c>
    </row>
    <row r="6" spans="1:2" x14ac:dyDescent="0.25">
      <c r="A6" s="12" t="s">
        <v>26</v>
      </c>
      <c r="B6">
        <v>19170</v>
      </c>
    </row>
    <row r="7" spans="1:2" x14ac:dyDescent="0.25">
      <c r="A7" s="12" t="s">
        <v>18</v>
      </c>
      <c r="B7">
        <v>6694</v>
      </c>
    </row>
    <row r="8" spans="1:2" x14ac:dyDescent="0.25">
      <c r="A8" s="12" t="s">
        <v>34</v>
      </c>
      <c r="B8">
        <v>3291</v>
      </c>
    </row>
    <row r="9" spans="1:2" x14ac:dyDescent="0.25">
      <c r="A9" s="12" t="s">
        <v>563</v>
      </c>
      <c r="B9">
        <v>115223</v>
      </c>
    </row>
    <row r="11" spans="1:2" x14ac:dyDescent="0.25">
      <c r="A11" t="s">
        <v>562</v>
      </c>
      <c r="B11" t="s">
        <v>564</v>
      </c>
    </row>
    <row r="12" spans="1:2" x14ac:dyDescent="0.25">
      <c r="A12" t="s">
        <v>42</v>
      </c>
      <c r="B12">
        <v>47108</v>
      </c>
    </row>
    <row r="13" spans="1:2" x14ac:dyDescent="0.25">
      <c r="A13" t="s">
        <v>48</v>
      </c>
      <c r="B13">
        <v>38960</v>
      </c>
    </row>
    <row r="14" spans="1:2" x14ac:dyDescent="0.25">
      <c r="A14" t="s">
        <v>26</v>
      </c>
      <c r="B14">
        <v>19170</v>
      </c>
    </row>
    <row r="15" spans="1:2" x14ac:dyDescent="0.25">
      <c r="A15" t="s">
        <v>18</v>
      </c>
      <c r="B15">
        <v>6694</v>
      </c>
    </row>
    <row r="16" spans="1:2" x14ac:dyDescent="0.25">
      <c r="A16" t="s">
        <v>34</v>
      </c>
      <c r="B16">
        <v>3291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8"/>
  <sheetViews>
    <sheetView topLeftCell="A23" workbookViewId="0">
      <selection activeCell="B55" sqref="B55:E55"/>
    </sheetView>
  </sheetViews>
  <sheetFormatPr defaultRowHeight="15" x14ac:dyDescent="0.25"/>
  <cols>
    <col min="1" max="1" width="14" customWidth="1"/>
    <col min="2" max="2" width="32" customWidth="1"/>
    <col min="3" max="3" width="22" customWidth="1"/>
    <col min="4" max="4" width="18" customWidth="1"/>
    <col min="5" max="5" width="14" customWidth="1"/>
  </cols>
  <sheetData>
    <row r="1" spans="1:5" ht="26.1" customHeight="1" x14ac:dyDescent="0.25">
      <c r="A1" s="63" t="s">
        <v>431</v>
      </c>
      <c r="B1" s="64"/>
      <c r="C1" s="64"/>
      <c r="D1" s="64"/>
      <c r="E1" s="64"/>
    </row>
    <row r="2" spans="1:5" ht="14.1" customHeight="1" x14ac:dyDescent="0.25">
      <c r="A2" s="67" t="s">
        <v>432</v>
      </c>
      <c r="B2" s="64"/>
      <c r="C2" s="64"/>
      <c r="D2" s="64"/>
      <c r="E2" s="64"/>
    </row>
    <row r="4" spans="1:5" ht="20.100000000000001" customHeight="1" x14ac:dyDescent="0.25">
      <c r="A4" s="72" t="s">
        <v>433</v>
      </c>
      <c r="B4" s="64"/>
      <c r="C4" s="64"/>
      <c r="D4" s="64"/>
      <c r="E4" s="64"/>
    </row>
    <row r="5" spans="1:5" ht="27.95" customHeight="1" x14ac:dyDescent="0.25">
      <c r="A5" s="9" t="s">
        <v>434</v>
      </c>
      <c r="B5" s="73" t="s">
        <v>435</v>
      </c>
      <c r="C5" s="64"/>
      <c r="D5" s="64"/>
      <c r="E5" s="64"/>
    </row>
    <row r="6" spans="1:5" ht="27.95" customHeight="1" x14ac:dyDescent="0.25">
      <c r="A6" s="9" t="s">
        <v>436</v>
      </c>
      <c r="B6" s="74" t="s">
        <v>437</v>
      </c>
      <c r="C6" s="64"/>
      <c r="D6" s="64"/>
      <c r="E6" s="64"/>
    </row>
    <row r="7" spans="1:5" ht="27.95" customHeight="1" x14ac:dyDescent="0.25">
      <c r="A7" s="9" t="s">
        <v>438</v>
      </c>
      <c r="B7" s="70" t="s">
        <v>439</v>
      </c>
      <c r="C7" s="64"/>
      <c r="D7" s="64"/>
      <c r="E7" s="64"/>
    </row>
    <row r="8" spans="1:5" ht="27.95" customHeight="1" x14ac:dyDescent="0.25">
      <c r="A8" s="9" t="s">
        <v>440</v>
      </c>
      <c r="B8" s="71" t="s">
        <v>441</v>
      </c>
      <c r="C8" s="64"/>
      <c r="D8" s="64"/>
      <c r="E8" s="64"/>
    </row>
    <row r="9" spans="1:5" ht="52.5" customHeight="1" x14ac:dyDescent="0.25">
      <c r="A9" s="13" t="s">
        <v>578</v>
      </c>
      <c r="B9" s="69" t="s">
        <v>579</v>
      </c>
      <c r="C9" s="69"/>
      <c r="D9" s="69"/>
      <c r="E9" s="69"/>
    </row>
    <row r="11" spans="1:5" ht="20.100000000000001" customHeight="1" x14ac:dyDescent="0.25">
      <c r="A11" s="72" t="s">
        <v>442</v>
      </c>
      <c r="B11" s="64"/>
      <c r="C11" s="64"/>
      <c r="D11" s="64"/>
      <c r="E11" s="64"/>
    </row>
    <row r="12" spans="1:5" ht="27.95" customHeight="1" x14ac:dyDescent="0.25">
      <c r="A12" s="9" t="s">
        <v>434</v>
      </c>
      <c r="B12" s="73" t="s">
        <v>443</v>
      </c>
      <c r="C12" s="64"/>
      <c r="D12" s="64"/>
      <c r="E12" s="64"/>
    </row>
    <row r="13" spans="1:5" ht="27.95" customHeight="1" x14ac:dyDescent="0.25">
      <c r="A13" s="9" t="s">
        <v>436</v>
      </c>
      <c r="B13" s="74" t="s">
        <v>444</v>
      </c>
      <c r="C13" s="64"/>
      <c r="D13" s="64"/>
      <c r="E13" s="64"/>
    </row>
    <row r="14" spans="1:5" ht="27.95" customHeight="1" x14ac:dyDescent="0.25">
      <c r="A14" s="9" t="s">
        <v>438</v>
      </c>
      <c r="B14" s="70" t="s">
        <v>445</v>
      </c>
      <c r="C14" s="64"/>
      <c r="D14" s="64"/>
      <c r="E14" s="64"/>
    </row>
    <row r="15" spans="1:5" ht="27.95" customHeight="1" x14ac:dyDescent="0.25">
      <c r="A15" s="9" t="s">
        <v>440</v>
      </c>
      <c r="B15" s="71" t="s">
        <v>446</v>
      </c>
      <c r="C15" s="64"/>
      <c r="D15" s="64"/>
      <c r="E15" s="64"/>
    </row>
    <row r="16" spans="1:5" ht="27.95" customHeight="1" x14ac:dyDescent="0.25">
      <c r="A16" s="13" t="s">
        <v>578</v>
      </c>
      <c r="B16" s="69" t="s">
        <v>580</v>
      </c>
      <c r="C16" s="69"/>
      <c r="D16" s="69"/>
      <c r="E16" s="69"/>
    </row>
    <row r="18" spans="1:5" ht="20.100000000000001" customHeight="1" x14ac:dyDescent="0.25">
      <c r="A18" s="72" t="s">
        <v>447</v>
      </c>
      <c r="B18" s="64"/>
      <c r="C18" s="64"/>
      <c r="D18" s="64"/>
      <c r="E18" s="64"/>
    </row>
    <row r="19" spans="1:5" ht="27.95" customHeight="1" x14ac:dyDescent="0.25">
      <c r="A19" s="9" t="s">
        <v>434</v>
      </c>
      <c r="B19" s="73" t="s">
        <v>448</v>
      </c>
      <c r="C19" s="64"/>
      <c r="D19" s="64"/>
      <c r="E19" s="64"/>
    </row>
    <row r="20" spans="1:5" ht="27.95" customHeight="1" x14ac:dyDescent="0.25">
      <c r="A20" s="9" t="s">
        <v>436</v>
      </c>
      <c r="B20" s="74" t="s">
        <v>449</v>
      </c>
      <c r="C20" s="64"/>
      <c r="D20" s="64"/>
      <c r="E20" s="64"/>
    </row>
    <row r="21" spans="1:5" ht="27.95" customHeight="1" x14ac:dyDescent="0.25">
      <c r="A21" s="9" t="s">
        <v>438</v>
      </c>
      <c r="B21" s="70" t="s">
        <v>450</v>
      </c>
      <c r="C21" s="64"/>
      <c r="D21" s="64"/>
      <c r="E21" s="64"/>
    </row>
    <row r="22" spans="1:5" ht="27.95" customHeight="1" x14ac:dyDescent="0.25">
      <c r="A22" s="9" t="s">
        <v>440</v>
      </c>
      <c r="B22" s="71" t="s">
        <v>451</v>
      </c>
      <c r="C22" s="64"/>
      <c r="D22" s="64"/>
      <c r="E22" s="64"/>
    </row>
    <row r="23" spans="1:5" ht="45" customHeight="1" x14ac:dyDescent="0.25">
      <c r="A23" s="13" t="s">
        <v>578</v>
      </c>
      <c r="B23" s="69" t="s">
        <v>581</v>
      </c>
      <c r="C23" s="69"/>
      <c r="D23" s="69"/>
      <c r="E23" s="69"/>
    </row>
    <row r="25" spans="1:5" ht="20.100000000000001" customHeight="1" x14ac:dyDescent="0.25">
      <c r="A25" s="72" t="s">
        <v>452</v>
      </c>
      <c r="B25" s="64"/>
      <c r="C25" s="64"/>
      <c r="D25" s="64"/>
      <c r="E25" s="64"/>
    </row>
    <row r="26" spans="1:5" ht="27.95" customHeight="1" x14ac:dyDescent="0.25">
      <c r="A26" s="9" t="s">
        <v>434</v>
      </c>
      <c r="B26" s="73" t="s">
        <v>453</v>
      </c>
      <c r="C26" s="64"/>
      <c r="D26" s="64"/>
      <c r="E26" s="64"/>
    </row>
    <row r="27" spans="1:5" ht="27.95" customHeight="1" x14ac:dyDescent="0.25">
      <c r="A27" s="9" t="s">
        <v>436</v>
      </c>
      <c r="B27" s="74" t="s">
        <v>454</v>
      </c>
      <c r="C27" s="64"/>
      <c r="D27" s="64"/>
      <c r="E27" s="64"/>
    </row>
    <row r="28" spans="1:5" ht="27.95" customHeight="1" x14ac:dyDescent="0.25">
      <c r="A28" s="9" t="s">
        <v>438</v>
      </c>
      <c r="B28" s="70" t="s">
        <v>455</v>
      </c>
      <c r="C28" s="64"/>
      <c r="D28" s="64"/>
      <c r="E28" s="64"/>
    </row>
    <row r="29" spans="1:5" ht="27.95" customHeight="1" x14ac:dyDescent="0.25">
      <c r="A29" s="9" t="s">
        <v>440</v>
      </c>
      <c r="B29" s="71" t="s">
        <v>456</v>
      </c>
      <c r="C29" s="64"/>
      <c r="D29" s="64"/>
      <c r="E29" s="64"/>
    </row>
    <row r="30" spans="1:5" ht="27.95" customHeight="1" x14ac:dyDescent="0.25">
      <c r="A30" s="13" t="s">
        <v>578</v>
      </c>
      <c r="B30" s="69" t="s">
        <v>582</v>
      </c>
      <c r="C30" s="69"/>
      <c r="D30" s="69"/>
      <c r="E30" s="69"/>
    </row>
    <row r="32" spans="1:5" ht="20.100000000000001" customHeight="1" x14ac:dyDescent="0.25">
      <c r="A32" s="72" t="s">
        <v>457</v>
      </c>
      <c r="B32" s="64"/>
      <c r="C32" s="64"/>
      <c r="D32" s="64"/>
      <c r="E32" s="64"/>
    </row>
    <row r="33" spans="1:5" ht="27.95" customHeight="1" x14ac:dyDescent="0.25">
      <c r="A33" s="9" t="s">
        <v>434</v>
      </c>
      <c r="B33" s="73" t="s">
        <v>458</v>
      </c>
      <c r="C33" s="64"/>
      <c r="D33" s="64"/>
      <c r="E33" s="64"/>
    </row>
    <row r="34" spans="1:5" ht="27.95" customHeight="1" x14ac:dyDescent="0.25">
      <c r="A34" s="9" t="s">
        <v>436</v>
      </c>
      <c r="B34" s="74" t="s">
        <v>459</v>
      </c>
      <c r="C34" s="64"/>
      <c r="D34" s="64"/>
      <c r="E34" s="64"/>
    </row>
    <row r="35" spans="1:5" ht="27.95" customHeight="1" x14ac:dyDescent="0.25">
      <c r="A35" s="9" t="s">
        <v>438</v>
      </c>
      <c r="B35" s="70" t="s">
        <v>460</v>
      </c>
      <c r="C35" s="64"/>
      <c r="D35" s="64"/>
      <c r="E35" s="64"/>
    </row>
    <row r="36" spans="1:5" ht="27.95" customHeight="1" x14ac:dyDescent="0.25">
      <c r="A36" s="9" t="s">
        <v>440</v>
      </c>
      <c r="B36" s="71" t="s">
        <v>461</v>
      </c>
      <c r="C36" s="64"/>
      <c r="D36" s="64"/>
      <c r="E36" s="64"/>
    </row>
    <row r="37" spans="1:5" ht="27.95" customHeight="1" x14ac:dyDescent="0.25">
      <c r="A37" s="14" t="s">
        <v>578</v>
      </c>
      <c r="B37" s="68" t="s">
        <v>583</v>
      </c>
      <c r="C37" s="69"/>
      <c r="D37" s="69"/>
      <c r="E37" s="69"/>
    </row>
    <row r="39" spans="1:5" ht="20.100000000000001" customHeight="1" x14ac:dyDescent="0.25">
      <c r="A39" s="72" t="s">
        <v>462</v>
      </c>
      <c r="B39" s="64"/>
      <c r="C39" s="64"/>
      <c r="D39" s="64"/>
      <c r="E39" s="64"/>
    </row>
    <row r="40" spans="1:5" ht="27.95" customHeight="1" x14ac:dyDescent="0.25">
      <c r="A40" s="9" t="s">
        <v>434</v>
      </c>
      <c r="B40" s="73" t="s">
        <v>463</v>
      </c>
      <c r="C40" s="64"/>
      <c r="D40" s="64"/>
      <c r="E40" s="64"/>
    </row>
    <row r="41" spans="1:5" ht="27.95" customHeight="1" x14ac:dyDescent="0.25">
      <c r="A41" s="9" t="s">
        <v>436</v>
      </c>
      <c r="B41" s="74" t="s">
        <v>464</v>
      </c>
      <c r="C41" s="64"/>
      <c r="D41" s="64"/>
      <c r="E41" s="64"/>
    </row>
    <row r="42" spans="1:5" ht="27.95" customHeight="1" x14ac:dyDescent="0.25">
      <c r="A42" s="9" t="s">
        <v>438</v>
      </c>
      <c r="B42" s="70" t="s">
        <v>465</v>
      </c>
      <c r="C42" s="64"/>
      <c r="D42" s="64"/>
      <c r="E42" s="64"/>
    </row>
    <row r="43" spans="1:5" ht="27.95" customHeight="1" x14ac:dyDescent="0.25">
      <c r="A43" s="9" t="s">
        <v>440</v>
      </c>
      <c r="B43" s="71" t="s">
        <v>466</v>
      </c>
      <c r="C43" s="64"/>
      <c r="D43" s="64"/>
      <c r="E43" s="64"/>
    </row>
    <row r="44" spans="1:5" ht="27.95" customHeight="1" x14ac:dyDescent="0.25">
      <c r="A44" s="14" t="s">
        <v>578</v>
      </c>
      <c r="B44" s="68" t="s">
        <v>584</v>
      </c>
      <c r="C44" s="69"/>
      <c r="D44" s="69"/>
      <c r="E44" s="69"/>
    </row>
    <row r="46" spans="1:5" ht="20.100000000000001" customHeight="1" x14ac:dyDescent="0.25">
      <c r="A46" s="72" t="s">
        <v>467</v>
      </c>
      <c r="B46" s="64"/>
      <c r="C46" s="64"/>
      <c r="D46" s="64"/>
      <c r="E46" s="64"/>
    </row>
    <row r="47" spans="1:5" ht="27.95" customHeight="1" x14ac:dyDescent="0.25">
      <c r="A47" s="9" t="s">
        <v>434</v>
      </c>
      <c r="B47" s="73" t="s">
        <v>468</v>
      </c>
      <c r="C47" s="64"/>
      <c r="D47" s="64"/>
      <c r="E47" s="64"/>
    </row>
    <row r="48" spans="1:5" ht="27.95" customHeight="1" x14ac:dyDescent="0.25">
      <c r="A48" s="9" t="s">
        <v>436</v>
      </c>
      <c r="B48" s="74" t="s">
        <v>469</v>
      </c>
      <c r="C48" s="64"/>
      <c r="D48" s="64"/>
      <c r="E48" s="64"/>
    </row>
    <row r="49" spans="1:5" ht="27.95" customHeight="1" x14ac:dyDescent="0.25">
      <c r="A49" s="9" t="s">
        <v>438</v>
      </c>
      <c r="B49" s="70" t="s">
        <v>470</v>
      </c>
      <c r="C49" s="64"/>
      <c r="D49" s="64"/>
      <c r="E49" s="64"/>
    </row>
    <row r="50" spans="1:5" ht="27.95" customHeight="1" x14ac:dyDescent="0.25">
      <c r="A50" s="9" t="s">
        <v>440</v>
      </c>
      <c r="B50" s="71" t="s">
        <v>471</v>
      </c>
      <c r="C50" s="64"/>
      <c r="D50" s="64"/>
      <c r="E50" s="64"/>
    </row>
    <row r="51" spans="1:5" ht="40.5" customHeight="1" x14ac:dyDescent="0.25">
      <c r="A51" s="14" t="s">
        <v>578</v>
      </c>
      <c r="B51" s="68" t="s">
        <v>585</v>
      </c>
      <c r="C51" s="69"/>
      <c r="D51" s="69"/>
      <c r="E51" s="69"/>
    </row>
    <row r="53" spans="1:5" ht="20.100000000000001" customHeight="1" x14ac:dyDescent="0.25">
      <c r="A53" s="72" t="s">
        <v>472</v>
      </c>
      <c r="B53" s="64"/>
      <c r="C53" s="64"/>
      <c r="D53" s="64"/>
      <c r="E53" s="64"/>
    </row>
    <row r="54" spans="1:5" ht="27.95" customHeight="1" x14ac:dyDescent="0.25">
      <c r="A54" s="9" t="s">
        <v>434</v>
      </c>
      <c r="B54" s="73" t="s">
        <v>473</v>
      </c>
      <c r="C54" s="64"/>
      <c r="D54" s="64"/>
      <c r="E54" s="64"/>
    </row>
    <row r="55" spans="1:5" ht="27.95" customHeight="1" x14ac:dyDescent="0.25">
      <c r="A55" s="9" t="s">
        <v>436</v>
      </c>
      <c r="B55" s="74" t="s">
        <v>474</v>
      </c>
      <c r="C55" s="64"/>
      <c r="D55" s="64"/>
      <c r="E55" s="64"/>
    </row>
    <row r="56" spans="1:5" ht="27.95" customHeight="1" x14ac:dyDescent="0.25">
      <c r="A56" s="9" t="s">
        <v>438</v>
      </c>
      <c r="B56" s="70" t="s">
        <v>475</v>
      </c>
      <c r="C56" s="64"/>
      <c r="D56" s="64"/>
      <c r="E56" s="64"/>
    </row>
    <row r="57" spans="1:5" ht="27.95" customHeight="1" x14ac:dyDescent="0.25">
      <c r="A57" s="9" t="s">
        <v>440</v>
      </c>
      <c r="B57" s="71" t="s">
        <v>476</v>
      </c>
      <c r="C57" s="64"/>
      <c r="D57" s="64"/>
      <c r="E57" s="64"/>
    </row>
    <row r="58" spans="1:5" ht="27.95" customHeight="1" x14ac:dyDescent="0.25">
      <c r="A58" s="14" t="s">
        <v>578</v>
      </c>
      <c r="B58" s="68" t="s">
        <v>586</v>
      </c>
      <c r="C58" s="69"/>
      <c r="D58" s="69"/>
      <c r="E58" s="69"/>
    </row>
  </sheetData>
  <mergeCells count="50">
    <mergeCell ref="A1:E1"/>
    <mergeCell ref="B27:E27"/>
    <mergeCell ref="B5:E5"/>
    <mergeCell ref="B22:E22"/>
    <mergeCell ref="A32:E32"/>
    <mergeCell ref="A2:E2"/>
    <mergeCell ref="A4:E4"/>
    <mergeCell ref="A39:E39"/>
    <mergeCell ref="B6:E6"/>
    <mergeCell ref="B34:E34"/>
    <mergeCell ref="A18:E18"/>
    <mergeCell ref="B7:E7"/>
    <mergeCell ref="B15:E15"/>
    <mergeCell ref="B19:E19"/>
    <mergeCell ref="B26:E26"/>
    <mergeCell ref="B8:E8"/>
    <mergeCell ref="A11:E11"/>
    <mergeCell ref="B14:E14"/>
    <mergeCell ref="B47:E47"/>
    <mergeCell ref="B43:E43"/>
    <mergeCell ref="B50:E50"/>
    <mergeCell ref="B33:E33"/>
    <mergeCell ref="B21:E21"/>
    <mergeCell ref="B42:E42"/>
    <mergeCell ref="A46:E46"/>
    <mergeCell ref="B23:E23"/>
    <mergeCell ref="B30:E30"/>
    <mergeCell ref="B37:E37"/>
    <mergeCell ref="B44:E44"/>
    <mergeCell ref="B28:E28"/>
    <mergeCell ref="B41:E41"/>
    <mergeCell ref="B36:E36"/>
    <mergeCell ref="B29:E29"/>
    <mergeCell ref="B40:E40"/>
    <mergeCell ref="B51:E51"/>
    <mergeCell ref="B58:E58"/>
    <mergeCell ref="B9:E9"/>
    <mergeCell ref="B16:E16"/>
    <mergeCell ref="B56:E56"/>
    <mergeCell ref="B57:E57"/>
    <mergeCell ref="A53:E53"/>
    <mergeCell ref="B54:E54"/>
    <mergeCell ref="B35:E35"/>
    <mergeCell ref="B20:E20"/>
    <mergeCell ref="B49:E49"/>
    <mergeCell ref="B13:E13"/>
    <mergeCell ref="B55:E55"/>
    <mergeCell ref="B12:E12"/>
    <mergeCell ref="A25:E25"/>
    <mergeCell ref="B48:E4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9"/>
  <sheetViews>
    <sheetView topLeftCell="A9" workbookViewId="0">
      <selection activeCell="B40" sqref="B40"/>
    </sheetView>
  </sheetViews>
  <sheetFormatPr defaultRowHeight="15" x14ac:dyDescent="0.25"/>
  <cols>
    <col min="1" max="1" width="14" customWidth="1"/>
    <col min="2" max="2" width="28" customWidth="1"/>
    <col min="3" max="3" width="20" customWidth="1"/>
    <col min="4" max="4" width="18" customWidth="1"/>
    <col min="5" max="5" width="14" customWidth="1"/>
  </cols>
  <sheetData>
    <row r="1" spans="1:5" ht="26.1" customHeight="1" x14ac:dyDescent="0.25">
      <c r="A1" s="63" t="s">
        <v>477</v>
      </c>
      <c r="B1" s="64"/>
      <c r="C1" s="64"/>
      <c r="D1" s="64"/>
      <c r="E1" s="64"/>
    </row>
    <row r="2" spans="1:5" ht="27" customHeight="1" x14ac:dyDescent="0.25">
      <c r="A2" s="67" t="s">
        <v>478</v>
      </c>
      <c r="B2" s="64"/>
      <c r="C2" s="64"/>
      <c r="D2" s="64"/>
      <c r="E2" s="64"/>
    </row>
    <row r="4" spans="1:5" ht="20.100000000000001" customHeight="1" x14ac:dyDescent="0.25">
      <c r="A4" s="72" t="s">
        <v>479</v>
      </c>
      <c r="B4" s="64"/>
      <c r="C4" s="64"/>
      <c r="D4" s="64"/>
      <c r="E4" s="64"/>
    </row>
    <row r="5" spans="1:5" ht="15.95" customHeight="1" x14ac:dyDescent="0.25">
      <c r="A5" s="78" t="s">
        <v>480</v>
      </c>
      <c r="B5" s="64"/>
      <c r="C5" s="64"/>
      <c r="D5" s="64"/>
      <c r="E5" s="64"/>
    </row>
    <row r="6" spans="1:5" ht="15.95" customHeight="1" x14ac:dyDescent="0.25">
      <c r="A6" s="77" t="s">
        <v>481</v>
      </c>
      <c r="B6" s="64"/>
      <c r="C6" s="64"/>
      <c r="D6" s="64"/>
      <c r="E6" s="64"/>
    </row>
    <row r="7" spans="1:5" ht="15.95" customHeight="1" x14ac:dyDescent="0.25">
      <c r="A7" s="78" t="s">
        <v>482</v>
      </c>
      <c r="B7" s="64"/>
      <c r="C7" s="64"/>
      <c r="D7" s="64"/>
      <c r="E7" s="64"/>
    </row>
    <row r="8" spans="1:5" ht="15.95" customHeight="1" x14ac:dyDescent="0.25">
      <c r="A8" s="77" t="s">
        <v>483</v>
      </c>
      <c r="B8" s="64"/>
      <c r="C8" s="64"/>
      <c r="D8" s="64"/>
      <c r="E8" s="64"/>
    </row>
    <row r="9" spans="1:5" ht="15.95" customHeight="1" x14ac:dyDescent="0.25">
      <c r="A9" s="78" t="s">
        <v>484</v>
      </c>
      <c r="B9" s="64"/>
      <c r="C9" s="64"/>
      <c r="D9" s="64"/>
      <c r="E9" s="64"/>
    </row>
    <row r="10" spans="1:5" ht="15.95" customHeight="1" x14ac:dyDescent="0.25">
      <c r="A10" s="77" t="s">
        <v>485</v>
      </c>
      <c r="B10" s="64"/>
      <c r="C10" s="64"/>
      <c r="D10" s="64"/>
      <c r="E10" s="64"/>
    </row>
    <row r="11" spans="1:5" ht="15.95" customHeight="1" x14ac:dyDescent="0.25">
      <c r="A11" s="78" t="s">
        <v>486</v>
      </c>
      <c r="B11" s="64"/>
      <c r="C11" s="64"/>
      <c r="D11" s="64"/>
      <c r="E11" s="64"/>
    </row>
    <row r="12" spans="1:5" ht="15.95" customHeight="1" x14ac:dyDescent="0.25">
      <c r="A12" s="77" t="s">
        <v>487</v>
      </c>
      <c r="B12" s="64"/>
      <c r="C12" s="64"/>
      <c r="D12" s="64"/>
      <c r="E12" s="64"/>
    </row>
    <row r="13" spans="1:5" ht="15.95" customHeight="1" x14ac:dyDescent="0.25">
      <c r="A13" s="78" t="s">
        <v>488</v>
      </c>
      <c r="B13" s="64"/>
      <c r="C13" s="64"/>
      <c r="D13" s="64"/>
      <c r="E13" s="64"/>
    </row>
    <row r="15" spans="1:5" ht="20.100000000000001" customHeight="1" x14ac:dyDescent="0.25">
      <c r="A15" s="72" t="s">
        <v>489</v>
      </c>
      <c r="B15" s="64"/>
      <c r="C15" s="64"/>
      <c r="D15" s="64"/>
      <c r="E15" s="64"/>
    </row>
    <row r="16" spans="1:5" ht="20.100000000000001" customHeight="1" x14ac:dyDescent="0.25">
      <c r="A16" s="65" t="s">
        <v>490</v>
      </c>
      <c r="B16" s="64"/>
      <c r="C16" s="64"/>
      <c r="D16" s="64"/>
      <c r="E16" s="64"/>
    </row>
    <row r="17" spans="1:5" ht="32.1" customHeight="1" x14ac:dyDescent="0.25">
      <c r="A17" s="69" t="s">
        <v>491</v>
      </c>
      <c r="B17" s="64"/>
      <c r="C17" s="64"/>
      <c r="D17" s="64"/>
      <c r="E17" s="64"/>
    </row>
    <row r="18" spans="1:5" ht="27.95" customHeight="1" x14ac:dyDescent="0.25">
      <c r="A18" s="75" t="s">
        <v>492</v>
      </c>
      <c r="B18" s="64"/>
      <c r="C18" s="64"/>
      <c r="D18" s="64"/>
      <c r="E18" s="64"/>
    </row>
    <row r="19" spans="1:5" x14ac:dyDescent="0.25">
      <c r="A19" s="17" t="s">
        <v>578</v>
      </c>
      <c r="B19" t="s">
        <v>628</v>
      </c>
      <c r="C19" s="27"/>
      <c r="D19" s="27"/>
      <c r="E19" s="27"/>
    </row>
    <row r="20" spans="1:5" x14ac:dyDescent="0.25">
      <c r="B20" s="27"/>
      <c r="C20" s="27"/>
      <c r="D20" s="27"/>
      <c r="E20" s="27"/>
    </row>
    <row r="21" spans="1:5" ht="20.100000000000001" customHeight="1" x14ac:dyDescent="0.25">
      <c r="A21" s="65" t="s">
        <v>493</v>
      </c>
      <c r="B21" s="64"/>
      <c r="C21" s="64"/>
      <c r="D21" s="64"/>
      <c r="E21" s="64"/>
    </row>
    <row r="22" spans="1:5" ht="32.1" customHeight="1" x14ac:dyDescent="0.25">
      <c r="A22" s="69" t="s">
        <v>494</v>
      </c>
      <c r="B22" s="64"/>
      <c r="C22" s="64"/>
      <c r="D22" s="64"/>
      <c r="E22" s="64"/>
    </row>
    <row r="23" spans="1:5" ht="27.95" customHeight="1" x14ac:dyDescent="0.25">
      <c r="A23" s="75" t="s">
        <v>495</v>
      </c>
      <c r="B23" s="64"/>
      <c r="C23" s="64"/>
      <c r="D23" s="64"/>
      <c r="E23" s="64"/>
    </row>
    <row r="24" spans="1:5" x14ac:dyDescent="0.25">
      <c r="A24" s="30" t="s">
        <v>578</v>
      </c>
      <c r="B24" s="76" t="s">
        <v>634</v>
      </c>
      <c r="C24" s="76"/>
      <c r="D24" s="76"/>
      <c r="E24" s="76"/>
    </row>
    <row r="26" spans="1:5" ht="20.100000000000001" customHeight="1" x14ac:dyDescent="0.25">
      <c r="A26" s="65" t="s">
        <v>496</v>
      </c>
      <c r="B26" s="64"/>
      <c r="C26" s="64"/>
      <c r="D26" s="64"/>
      <c r="E26" s="64"/>
    </row>
    <row r="27" spans="1:5" ht="32.1" customHeight="1" x14ac:dyDescent="0.25">
      <c r="A27" s="69" t="s">
        <v>497</v>
      </c>
      <c r="B27" s="64"/>
      <c r="C27" s="64"/>
      <c r="D27" s="64"/>
      <c r="E27" s="64"/>
    </row>
    <row r="28" spans="1:5" ht="27.95" customHeight="1" x14ac:dyDescent="0.25">
      <c r="A28" s="75" t="s">
        <v>498</v>
      </c>
      <c r="B28" s="64"/>
      <c r="C28" s="64"/>
      <c r="D28" s="64"/>
      <c r="E28" s="64"/>
    </row>
    <row r="29" spans="1:5" x14ac:dyDescent="0.25">
      <c r="A29" s="30" t="s">
        <v>578</v>
      </c>
      <c r="B29" t="s">
        <v>635</v>
      </c>
    </row>
    <row r="31" spans="1:5" ht="20.100000000000001" customHeight="1" x14ac:dyDescent="0.25">
      <c r="A31" s="65" t="s">
        <v>499</v>
      </c>
      <c r="B31" s="64"/>
      <c r="C31" s="64"/>
      <c r="D31" s="64"/>
      <c r="E31" s="64"/>
    </row>
    <row r="32" spans="1:5" ht="32.1" customHeight="1" x14ac:dyDescent="0.25">
      <c r="A32" s="69" t="s">
        <v>500</v>
      </c>
      <c r="B32" s="64"/>
      <c r="C32" s="64"/>
      <c r="D32" s="64"/>
      <c r="E32" s="64"/>
    </row>
    <row r="33" spans="1:5" ht="27.95" customHeight="1" x14ac:dyDescent="0.25">
      <c r="A33" s="75" t="s">
        <v>501</v>
      </c>
      <c r="B33" s="64"/>
      <c r="C33" s="64"/>
      <c r="D33" s="64"/>
      <c r="E33" s="64"/>
    </row>
    <row r="34" spans="1:5" ht="102.75" customHeight="1" x14ac:dyDescent="0.25">
      <c r="A34" s="30" t="s">
        <v>578</v>
      </c>
      <c r="B34" s="76" t="s">
        <v>636</v>
      </c>
      <c r="C34" s="76"/>
      <c r="D34" s="76"/>
      <c r="E34" s="76"/>
    </row>
    <row r="36" spans="1:5" ht="20.100000000000001" customHeight="1" x14ac:dyDescent="0.25">
      <c r="A36" s="65" t="s">
        <v>502</v>
      </c>
      <c r="B36" s="64"/>
      <c r="C36" s="64"/>
      <c r="D36" s="64"/>
      <c r="E36" s="64"/>
    </row>
    <row r="37" spans="1:5" ht="32.1" customHeight="1" x14ac:dyDescent="0.25">
      <c r="A37" s="69" t="s">
        <v>503</v>
      </c>
      <c r="B37" s="64"/>
      <c r="C37" s="64"/>
      <c r="D37" s="64"/>
      <c r="E37" s="64"/>
    </row>
    <row r="38" spans="1:5" ht="27.95" customHeight="1" x14ac:dyDescent="0.25">
      <c r="A38" s="75" t="s">
        <v>504</v>
      </c>
      <c r="B38" s="64"/>
      <c r="C38" s="64"/>
      <c r="D38" s="64"/>
      <c r="E38" s="64"/>
    </row>
    <row r="39" spans="1:5" ht="27.95" customHeight="1" x14ac:dyDescent="0.25">
      <c r="A39" s="30" t="s">
        <v>578</v>
      </c>
      <c r="B39" t="s">
        <v>638</v>
      </c>
    </row>
  </sheetData>
  <mergeCells count="30">
    <mergeCell ref="A4:E4"/>
    <mergeCell ref="A21:E21"/>
    <mergeCell ref="A10:E10"/>
    <mergeCell ref="A9:E9"/>
    <mergeCell ref="A1:E1"/>
    <mergeCell ref="A6:E6"/>
    <mergeCell ref="A16:E16"/>
    <mergeCell ref="A7:E7"/>
    <mergeCell ref="A2:E2"/>
    <mergeCell ref="A5:E5"/>
    <mergeCell ref="A8:E8"/>
    <mergeCell ref="A15:E15"/>
    <mergeCell ref="A11:E11"/>
    <mergeCell ref="A13:E13"/>
    <mergeCell ref="A12:E12"/>
    <mergeCell ref="A23:E23"/>
    <mergeCell ref="A17:E17"/>
    <mergeCell ref="B24:E24"/>
    <mergeCell ref="A28:E28"/>
    <mergeCell ref="A38:E38"/>
    <mergeCell ref="A26:E26"/>
    <mergeCell ref="A27:E27"/>
    <mergeCell ref="A18:E18"/>
    <mergeCell ref="A22:E22"/>
    <mergeCell ref="A37:E37"/>
    <mergeCell ref="A36:E36"/>
    <mergeCell ref="A32:E32"/>
    <mergeCell ref="A31:E31"/>
    <mergeCell ref="B34:E34"/>
    <mergeCell ref="A33:E33"/>
  </mergeCells>
  <pageMargins left="0.75" right="0.75" top="1" bottom="1" header="0.5" footer="0.5"/>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58"/>
  <sheetViews>
    <sheetView topLeftCell="A39" workbookViewId="0">
      <selection activeCell="A39" sqref="A1:XFD1048576"/>
    </sheetView>
  </sheetViews>
  <sheetFormatPr defaultRowHeight="15" x14ac:dyDescent="0.25"/>
  <cols>
    <col min="1" max="1" width="14" customWidth="1"/>
    <col min="2" max="2" width="30" customWidth="1"/>
    <col min="3" max="4" width="22" customWidth="1"/>
    <col min="5" max="5" width="18" customWidth="1"/>
  </cols>
  <sheetData>
    <row r="1" spans="1:14" ht="26.1" customHeight="1" x14ac:dyDescent="0.25">
      <c r="A1" s="63" t="s">
        <v>386</v>
      </c>
      <c r="B1" s="64"/>
      <c r="C1" s="64"/>
      <c r="D1" s="64"/>
      <c r="E1" s="64"/>
    </row>
    <row r="2" spans="1:14" ht="30.75" customHeight="1" x14ac:dyDescent="0.25">
      <c r="A2" s="67" t="s">
        <v>387</v>
      </c>
      <c r="B2" s="64"/>
      <c r="C2" s="64"/>
      <c r="D2" s="64"/>
      <c r="E2" s="64"/>
    </row>
    <row r="4" spans="1:14" ht="20.100000000000001" customHeight="1" x14ac:dyDescent="0.25">
      <c r="A4" s="72" t="s">
        <v>388</v>
      </c>
      <c r="B4" s="64"/>
      <c r="C4" s="64"/>
      <c r="D4" s="64"/>
      <c r="E4" s="64"/>
    </row>
    <row r="5" spans="1:14" ht="33.75" customHeight="1" x14ac:dyDescent="0.25">
      <c r="A5" s="9" t="s">
        <v>389</v>
      </c>
      <c r="B5" s="80" t="s">
        <v>390</v>
      </c>
      <c r="C5" s="64"/>
      <c r="D5" s="64"/>
      <c r="E5" s="64"/>
    </row>
    <row r="6" spans="1:14" ht="37.5" customHeight="1" x14ac:dyDescent="0.25">
      <c r="A6" s="9" t="s">
        <v>391</v>
      </c>
      <c r="B6" s="79" t="s">
        <v>392</v>
      </c>
      <c r="C6" s="64"/>
      <c r="D6" s="64"/>
      <c r="E6" s="64"/>
    </row>
    <row r="7" spans="1:14" ht="51.75" customHeight="1" x14ac:dyDescent="0.25">
      <c r="A7" s="9" t="s">
        <v>393</v>
      </c>
      <c r="B7" s="84" t="s">
        <v>568</v>
      </c>
      <c r="C7" s="64"/>
      <c r="D7" s="64"/>
      <c r="E7" s="64"/>
    </row>
    <row r="8" spans="1:14" ht="51.75" customHeight="1" x14ac:dyDescent="0.25">
      <c r="A8" s="9" t="s">
        <v>569</v>
      </c>
      <c r="B8" s="83" t="s">
        <v>570</v>
      </c>
      <c r="C8" s="75"/>
      <c r="D8" s="75"/>
      <c r="E8" s="75"/>
    </row>
    <row r="9" spans="1:14" ht="23.25" customHeight="1" x14ac:dyDescent="0.25">
      <c r="A9" s="9" t="s">
        <v>394</v>
      </c>
      <c r="B9" s="81" t="s">
        <v>395</v>
      </c>
      <c r="C9" s="64"/>
      <c r="D9" s="64"/>
      <c r="E9" s="64"/>
      <c r="N9">
        <v>115223</v>
      </c>
    </row>
    <row r="11" spans="1:14" ht="20.100000000000001" customHeight="1" x14ac:dyDescent="0.25">
      <c r="A11" s="72" t="s">
        <v>396</v>
      </c>
      <c r="B11" s="72"/>
      <c r="C11" s="72"/>
      <c r="D11" s="72"/>
      <c r="E11" s="72"/>
    </row>
    <row r="12" spans="1:14" ht="23.25" customHeight="1" x14ac:dyDescent="0.25">
      <c r="A12" s="9" t="s">
        <v>389</v>
      </c>
      <c r="B12" s="80" t="s">
        <v>397</v>
      </c>
      <c r="C12" s="64"/>
      <c r="D12" s="64"/>
      <c r="E12" s="64"/>
    </row>
    <row r="13" spans="1:14" ht="18.75" customHeight="1" x14ac:dyDescent="0.25">
      <c r="A13" s="9" t="s">
        <v>391</v>
      </c>
      <c r="B13" s="79" t="s">
        <v>398</v>
      </c>
      <c r="C13" s="64"/>
      <c r="D13" s="64"/>
      <c r="E13" s="64"/>
    </row>
    <row r="14" spans="1:14" ht="28.5" customHeight="1" x14ac:dyDescent="0.25">
      <c r="A14" s="9" t="s">
        <v>393</v>
      </c>
      <c r="B14" s="84" t="s">
        <v>399</v>
      </c>
      <c r="C14" s="64"/>
      <c r="D14" s="64"/>
      <c r="E14" s="64"/>
    </row>
    <row r="15" spans="1:14" ht="79.5" customHeight="1" x14ac:dyDescent="0.25">
      <c r="A15" s="9" t="s">
        <v>569</v>
      </c>
      <c r="B15" s="82" t="s">
        <v>571</v>
      </c>
      <c r="C15" s="75"/>
      <c r="D15" s="75"/>
      <c r="E15" s="75"/>
    </row>
    <row r="16" spans="1:14" ht="30" customHeight="1" x14ac:dyDescent="0.25">
      <c r="A16" s="9" t="s">
        <v>394</v>
      </c>
      <c r="B16" s="81" t="s">
        <v>400</v>
      </c>
      <c r="C16" s="64"/>
      <c r="D16" s="64"/>
      <c r="E16" s="64"/>
    </row>
    <row r="18" spans="1:5" ht="20.100000000000001" customHeight="1" x14ac:dyDescent="0.25">
      <c r="A18" s="72" t="s">
        <v>401</v>
      </c>
      <c r="B18" s="72"/>
      <c r="C18" s="72"/>
      <c r="D18" s="72"/>
      <c r="E18" s="72"/>
    </row>
    <row r="19" spans="1:5" ht="22.5" customHeight="1" x14ac:dyDescent="0.25">
      <c r="A19" s="9" t="s">
        <v>389</v>
      </c>
      <c r="B19" s="80" t="s">
        <v>402</v>
      </c>
      <c r="C19" s="64"/>
      <c r="D19" s="64"/>
      <c r="E19" s="64"/>
    </row>
    <row r="20" spans="1:5" ht="21.75" customHeight="1" x14ac:dyDescent="0.25">
      <c r="A20" s="9" t="s">
        <v>391</v>
      </c>
      <c r="B20" s="79" t="s">
        <v>403</v>
      </c>
      <c r="C20" s="64"/>
      <c r="D20" s="64"/>
      <c r="E20" s="64"/>
    </row>
    <row r="21" spans="1:5" ht="32.25" customHeight="1" x14ac:dyDescent="0.25">
      <c r="A21" s="9" t="s">
        <v>393</v>
      </c>
      <c r="B21" s="84" t="s">
        <v>404</v>
      </c>
      <c r="C21" s="64"/>
      <c r="D21" s="64"/>
      <c r="E21" s="64"/>
    </row>
    <row r="22" spans="1:5" ht="60.75" customHeight="1" x14ac:dyDescent="0.25">
      <c r="A22" s="9" t="s">
        <v>569</v>
      </c>
      <c r="B22" s="83" t="s">
        <v>572</v>
      </c>
      <c r="C22" s="75"/>
      <c r="D22" s="75"/>
      <c r="E22" s="75"/>
    </row>
    <row r="23" spans="1:5" ht="27.75" customHeight="1" x14ac:dyDescent="0.25">
      <c r="A23" s="9" t="s">
        <v>394</v>
      </c>
      <c r="B23" s="81" t="s">
        <v>405</v>
      </c>
      <c r="C23" s="64"/>
      <c r="D23" s="64"/>
      <c r="E23" s="64"/>
    </row>
    <row r="25" spans="1:5" ht="20.100000000000001" customHeight="1" x14ac:dyDescent="0.25">
      <c r="A25" s="72" t="s">
        <v>406</v>
      </c>
      <c r="B25" s="72"/>
      <c r="C25" s="72"/>
      <c r="D25" s="72"/>
      <c r="E25" s="72"/>
    </row>
    <row r="26" spans="1:5" ht="18" customHeight="1" x14ac:dyDescent="0.25">
      <c r="A26" s="9" t="s">
        <v>389</v>
      </c>
      <c r="B26" s="80" t="s">
        <v>407</v>
      </c>
      <c r="C26" s="64"/>
      <c r="D26" s="64"/>
      <c r="E26" s="64"/>
    </row>
    <row r="27" spans="1:5" ht="15.75" customHeight="1" x14ac:dyDescent="0.25">
      <c r="A27" s="9" t="s">
        <v>391</v>
      </c>
      <c r="B27" s="79" t="s">
        <v>408</v>
      </c>
      <c r="C27" s="64"/>
      <c r="D27" s="64"/>
      <c r="E27" s="64"/>
    </row>
    <row r="28" spans="1:5" ht="18" customHeight="1" x14ac:dyDescent="0.25">
      <c r="A28" s="9" t="s">
        <v>393</v>
      </c>
      <c r="B28" s="84" t="s">
        <v>409</v>
      </c>
      <c r="C28" s="64"/>
      <c r="D28" s="64"/>
      <c r="E28" s="64"/>
    </row>
    <row r="29" spans="1:5" ht="108.75" customHeight="1" x14ac:dyDescent="0.25">
      <c r="A29" s="9" t="s">
        <v>569</v>
      </c>
      <c r="B29" s="83" t="s">
        <v>573</v>
      </c>
      <c r="C29" s="75"/>
      <c r="D29" s="75"/>
      <c r="E29" s="75"/>
    </row>
    <row r="30" spans="1:5" ht="26.25" customHeight="1" x14ac:dyDescent="0.25">
      <c r="A30" s="9" t="s">
        <v>394</v>
      </c>
      <c r="B30" s="81" t="s">
        <v>410</v>
      </c>
      <c r="C30" s="64"/>
      <c r="D30" s="64"/>
      <c r="E30" s="64"/>
    </row>
    <row r="32" spans="1:5" ht="20.100000000000001" customHeight="1" x14ac:dyDescent="0.25">
      <c r="A32" s="72" t="s">
        <v>411</v>
      </c>
      <c r="B32" s="72"/>
      <c r="C32" s="72"/>
      <c r="D32" s="72"/>
      <c r="E32" s="72"/>
    </row>
    <row r="33" spans="1:5" ht="21.75" customHeight="1" x14ac:dyDescent="0.25">
      <c r="A33" s="9" t="s">
        <v>389</v>
      </c>
      <c r="B33" s="80" t="s">
        <v>412</v>
      </c>
      <c r="C33" s="64"/>
      <c r="D33" s="64"/>
      <c r="E33" s="64"/>
    </row>
    <row r="34" spans="1:5" ht="24" customHeight="1" x14ac:dyDescent="0.25">
      <c r="A34" s="9" t="s">
        <v>391</v>
      </c>
      <c r="B34" s="79" t="s">
        <v>413</v>
      </c>
      <c r="C34" s="64"/>
      <c r="D34" s="64"/>
      <c r="E34" s="64"/>
    </row>
    <row r="35" spans="1:5" ht="28.5" customHeight="1" x14ac:dyDescent="0.25">
      <c r="A35" s="9" t="s">
        <v>393</v>
      </c>
      <c r="B35" s="84" t="s">
        <v>414</v>
      </c>
      <c r="C35" s="64"/>
      <c r="D35" s="64"/>
      <c r="E35" s="64"/>
    </row>
    <row r="36" spans="1:5" ht="101.25" customHeight="1" x14ac:dyDescent="0.25">
      <c r="A36" s="9" t="s">
        <v>569</v>
      </c>
      <c r="B36" s="83" t="s">
        <v>575</v>
      </c>
      <c r="C36" s="75"/>
      <c r="D36" s="75"/>
      <c r="E36" s="75"/>
    </row>
    <row r="37" spans="1:5" ht="25.5" customHeight="1" x14ac:dyDescent="0.25">
      <c r="A37" s="9" t="s">
        <v>394</v>
      </c>
      <c r="B37" s="81" t="s">
        <v>415</v>
      </c>
      <c r="C37" s="64"/>
      <c r="D37" s="64"/>
      <c r="E37" s="64"/>
    </row>
    <row r="39" spans="1:5" ht="20.100000000000001" customHeight="1" x14ac:dyDescent="0.25">
      <c r="A39" s="72" t="s">
        <v>416</v>
      </c>
      <c r="B39" s="72"/>
      <c r="C39" s="72"/>
      <c r="D39" s="72"/>
      <c r="E39" s="72"/>
    </row>
    <row r="40" spans="1:5" ht="18.75" customHeight="1" x14ac:dyDescent="0.25">
      <c r="A40" s="9" t="s">
        <v>389</v>
      </c>
      <c r="B40" s="80" t="s">
        <v>417</v>
      </c>
      <c r="C40" s="64"/>
      <c r="D40" s="64"/>
      <c r="E40" s="64"/>
    </row>
    <row r="41" spans="1:5" ht="21" customHeight="1" x14ac:dyDescent="0.25">
      <c r="A41" s="9" t="s">
        <v>391</v>
      </c>
      <c r="B41" s="79" t="s">
        <v>418</v>
      </c>
      <c r="C41" s="64"/>
      <c r="D41" s="64"/>
      <c r="E41" s="64"/>
    </row>
    <row r="42" spans="1:5" ht="24.75" customHeight="1" x14ac:dyDescent="0.25">
      <c r="A42" s="9" t="s">
        <v>393</v>
      </c>
      <c r="B42" s="84" t="s">
        <v>419</v>
      </c>
      <c r="C42" s="64"/>
      <c r="D42" s="64"/>
      <c r="E42" s="64"/>
    </row>
    <row r="43" spans="1:5" ht="78" customHeight="1" x14ac:dyDescent="0.25">
      <c r="A43" s="9" t="s">
        <v>569</v>
      </c>
      <c r="B43" s="83" t="s">
        <v>577</v>
      </c>
      <c r="C43" s="75"/>
      <c r="D43" s="75"/>
      <c r="E43" s="75"/>
    </row>
    <row r="44" spans="1:5" ht="43.5" customHeight="1" x14ac:dyDescent="0.25">
      <c r="A44" s="9" t="s">
        <v>394</v>
      </c>
      <c r="B44" s="81" t="s">
        <v>420</v>
      </c>
      <c r="C44" s="64"/>
      <c r="D44" s="64"/>
      <c r="E44" s="64"/>
    </row>
    <row r="46" spans="1:5" ht="20.100000000000001" customHeight="1" x14ac:dyDescent="0.25">
      <c r="A46" s="72" t="s">
        <v>421</v>
      </c>
      <c r="B46" s="72"/>
      <c r="C46" s="72"/>
      <c r="D46" s="72"/>
      <c r="E46" s="72"/>
    </row>
    <row r="47" spans="1:5" ht="26.25" customHeight="1" x14ac:dyDescent="0.25">
      <c r="A47" s="9" t="s">
        <v>389</v>
      </c>
      <c r="B47" s="80" t="s">
        <v>422</v>
      </c>
      <c r="C47" s="64"/>
      <c r="D47" s="64"/>
      <c r="E47" s="64"/>
    </row>
    <row r="48" spans="1:5" ht="26.25" customHeight="1" x14ac:dyDescent="0.25">
      <c r="A48" s="9" t="s">
        <v>391</v>
      </c>
      <c r="B48" s="79" t="s">
        <v>423</v>
      </c>
      <c r="C48" s="64"/>
      <c r="D48" s="64"/>
      <c r="E48" s="64"/>
    </row>
    <row r="49" spans="1:5" ht="27.75" customHeight="1" x14ac:dyDescent="0.25">
      <c r="A49" s="9" t="s">
        <v>393</v>
      </c>
      <c r="B49" s="84" t="s">
        <v>424</v>
      </c>
      <c r="C49" s="64"/>
      <c r="D49" s="64"/>
      <c r="E49" s="64"/>
    </row>
    <row r="50" spans="1:5" ht="72" customHeight="1" x14ac:dyDescent="0.25">
      <c r="A50" s="9" t="s">
        <v>569</v>
      </c>
      <c r="B50" s="83" t="s">
        <v>576</v>
      </c>
      <c r="C50" s="75"/>
      <c r="D50" s="75"/>
      <c r="E50" s="75"/>
    </row>
    <row r="51" spans="1:5" ht="27" customHeight="1" x14ac:dyDescent="0.25">
      <c r="A51" s="9" t="s">
        <v>394</v>
      </c>
      <c r="B51" s="81" t="s">
        <v>425</v>
      </c>
      <c r="C51" s="64"/>
      <c r="D51" s="64"/>
      <c r="E51" s="64"/>
    </row>
    <row r="53" spans="1:5" ht="20.100000000000001" customHeight="1" x14ac:dyDescent="0.25">
      <c r="A53" s="72" t="s">
        <v>426</v>
      </c>
      <c r="B53" s="72"/>
      <c r="C53" s="72"/>
      <c r="D53" s="72"/>
      <c r="E53" s="72"/>
    </row>
    <row r="54" spans="1:5" ht="24" customHeight="1" x14ac:dyDescent="0.25">
      <c r="A54" s="9" t="s">
        <v>389</v>
      </c>
      <c r="B54" s="80" t="s">
        <v>427</v>
      </c>
      <c r="C54" s="64"/>
      <c r="D54" s="64"/>
      <c r="E54" s="64"/>
    </row>
    <row r="55" spans="1:5" ht="24.75" customHeight="1" x14ac:dyDescent="0.25">
      <c r="A55" s="9" t="s">
        <v>391</v>
      </c>
      <c r="B55" s="79" t="s">
        <v>428</v>
      </c>
      <c r="C55" s="64"/>
      <c r="D55" s="64"/>
      <c r="E55" s="64"/>
    </row>
    <row r="56" spans="1:5" ht="33.75" customHeight="1" x14ac:dyDescent="0.25">
      <c r="A56" s="9" t="s">
        <v>393</v>
      </c>
      <c r="B56" s="84" t="s">
        <v>429</v>
      </c>
      <c r="C56" s="64"/>
      <c r="D56" s="64"/>
      <c r="E56" s="64"/>
    </row>
    <row r="57" spans="1:5" ht="83.25" customHeight="1" x14ac:dyDescent="0.25">
      <c r="A57" s="9" t="s">
        <v>569</v>
      </c>
      <c r="B57" s="83" t="s">
        <v>574</v>
      </c>
      <c r="C57" s="75"/>
      <c r="D57" s="75"/>
      <c r="E57" s="75"/>
    </row>
    <row r="58" spans="1:5" ht="46.5" customHeight="1" x14ac:dyDescent="0.25">
      <c r="A58" s="9" t="s">
        <v>394</v>
      </c>
      <c r="B58" s="81" t="s">
        <v>430</v>
      </c>
      <c r="C58" s="64"/>
      <c r="D58" s="64"/>
      <c r="E58" s="64"/>
    </row>
  </sheetData>
  <mergeCells count="50">
    <mergeCell ref="B58:E58"/>
    <mergeCell ref="A18:E18"/>
    <mergeCell ref="B55:E55"/>
    <mergeCell ref="B57:E57"/>
    <mergeCell ref="B56:E56"/>
    <mergeCell ref="B47:E47"/>
    <mergeCell ref="B44:E44"/>
    <mergeCell ref="A39:E39"/>
    <mergeCell ref="B42:E42"/>
    <mergeCell ref="A46:E46"/>
    <mergeCell ref="B43:E43"/>
    <mergeCell ref="B7:E7"/>
    <mergeCell ref="B28:E28"/>
    <mergeCell ref="A53:E53"/>
    <mergeCell ref="B54:E54"/>
    <mergeCell ref="B35:E35"/>
    <mergeCell ref="B20:E20"/>
    <mergeCell ref="B49:E49"/>
    <mergeCell ref="B13:E13"/>
    <mergeCell ref="B12:E12"/>
    <mergeCell ref="A25:E25"/>
    <mergeCell ref="B48:E48"/>
    <mergeCell ref="B8:E8"/>
    <mergeCell ref="B51:E51"/>
    <mergeCell ref="B50:E50"/>
    <mergeCell ref="A11:E11"/>
    <mergeCell ref="B14:E14"/>
    <mergeCell ref="B15:E15"/>
    <mergeCell ref="B22:E22"/>
    <mergeCell ref="B29:E29"/>
    <mergeCell ref="B36:E36"/>
    <mergeCell ref="B33:E33"/>
    <mergeCell ref="B21:E21"/>
    <mergeCell ref="A32:E32"/>
    <mergeCell ref="A1:E1"/>
    <mergeCell ref="B27:E27"/>
    <mergeCell ref="B5:E5"/>
    <mergeCell ref="B23:E23"/>
    <mergeCell ref="B41:E41"/>
    <mergeCell ref="B37:E37"/>
    <mergeCell ref="B30:E30"/>
    <mergeCell ref="B40:E40"/>
    <mergeCell ref="A2:E2"/>
    <mergeCell ref="B26:E26"/>
    <mergeCell ref="A4:E4"/>
    <mergeCell ref="B9:E9"/>
    <mergeCell ref="B16:E16"/>
    <mergeCell ref="B19:E19"/>
    <mergeCell ref="B6:E6"/>
    <mergeCell ref="B34:E34"/>
  </mergeCells>
  <pageMargins left="0.75" right="0.75" top="1" bottom="1" header="0.5" footer="0.5"/>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7"/>
  <sheetViews>
    <sheetView topLeftCell="A23" workbookViewId="0">
      <selection activeCell="G24" sqref="G24"/>
    </sheetView>
  </sheetViews>
  <sheetFormatPr defaultRowHeight="15" x14ac:dyDescent="0.25"/>
  <cols>
    <col min="1" max="1" width="22" customWidth="1"/>
    <col min="2" max="2" width="24" customWidth="1"/>
    <col min="3" max="3" width="55" customWidth="1"/>
    <col min="4" max="4" width="24" customWidth="1"/>
    <col min="5" max="5" width="26" customWidth="1"/>
    <col min="6" max="6" width="20" customWidth="1"/>
  </cols>
  <sheetData>
    <row r="1" spans="1:8" ht="26.1" customHeight="1" x14ac:dyDescent="0.25">
      <c r="A1" s="63" t="s">
        <v>357</v>
      </c>
      <c r="B1" s="64"/>
      <c r="C1" s="64"/>
      <c r="D1" s="64"/>
      <c r="E1" s="64"/>
      <c r="F1" s="64"/>
    </row>
    <row r="2" spans="1:8" ht="14.1" customHeight="1" x14ac:dyDescent="0.25">
      <c r="A2" s="69" t="s">
        <v>358</v>
      </c>
      <c r="B2" s="64"/>
      <c r="C2" s="64"/>
      <c r="D2" s="64"/>
      <c r="E2" s="64"/>
      <c r="F2" s="64"/>
    </row>
    <row r="4" spans="1:8" ht="20.100000000000001" customHeight="1" x14ac:dyDescent="0.25">
      <c r="A4" s="72" t="s">
        <v>359</v>
      </c>
      <c r="B4" s="64"/>
      <c r="C4" s="64"/>
      <c r="D4" s="64"/>
      <c r="E4" s="64"/>
      <c r="F4" s="64"/>
    </row>
    <row r="5" spans="1:8" ht="15.95" customHeight="1" x14ac:dyDescent="0.25">
      <c r="A5" s="78" t="s">
        <v>360</v>
      </c>
      <c r="B5" s="64"/>
      <c r="C5" s="64"/>
      <c r="D5" s="64"/>
      <c r="E5" s="64"/>
      <c r="F5" s="64"/>
    </row>
    <row r="6" spans="1:8" ht="15.95" customHeight="1" x14ac:dyDescent="0.25">
      <c r="A6" s="77" t="s">
        <v>361</v>
      </c>
      <c r="B6" s="64"/>
      <c r="C6" s="64"/>
      <c r="D6" s="64"/>
      <c r="E6" s="64"/>
      <c r="F6" s="64"/>
    </row>
    <row r="7" spans="1:8" ht="15.95" customHeight="1" x14ac:dyDescent="0.25">
      <c r="A7" s="78" t="s">
        <v>362</v>
      </c>
      <c r="B7" s="64"/>
      <c r="C7" s="64"/>
      <c r="D7" s="64"/>
      <c r="E7" s="64"/>
      <c r="F7" s="64"/>
    </row>
    <row r="8" spans="1:8" ht="15.95" customHeight="1" x14ac:dyDescent="0.25">
      <c r="A8" s="77" t="s">
        <v>363</v>
      </c>
      <c r="B8" s="64"/>
      <c r="C8" s="64"/>
      <c r="D8" s="64"/>
      <c r="E8" s="64"/>
      <c r="F8" s="64"/>
    </row>
    <row r="9" spans="1:8" ht="15.95" customHeight="1" x14ac:dyDescent="0.25">
      <c r="A9" s="78" t="s">
        <v>364</v>
      </c>
      <c r="B9" s="64"/>
      <c r="C9" s="64"/>
      <c r="D9" s="64"/>
      <c r="E9" s="64"/>
      <c r="F9" s="64"/>
    </row>
    <row r="10" spans="1:8" ht="15.95" customHeight="1" x14ac:dyDescent="0.25">
      <c r="A10" s="77" t="s">
        <v>365</v>
      </c>
      <c r="B10" s="64"/>
      <c r="C10" s="64"/>
      <c r="D10" s="64"/>
      <c r="E10" s="64"/>
      <c r="F10" s="64"/>
    </row>
    <row r="11" spans="1:8" ht="15.95" customHeight="1" x14ac:dyDescent="0.25">
      <c r="A11" s="78" t="s">
        <v>366</v>
      </c>
      <c r="B11" s="64"/>
      <c r="C11" s="64"/>
      <c r="D11" s="64"/>
      <c r="E11" s="64"/>
      <c r="F11" s="64"/>
    </row>
    <row r="12" spans="1:8" ht="15.95" customHeight="1" x14ac:dyDescent="0.25">
      <c r="A12" s="77" t="s">
        <v>367</v>
      </c>
      <c r="B12" s="64"/>
      <c r="C12" s="64"/>
      <c r="D12" s="64"/>
      <c r="E12" s="64"/>
      <c r="F12" s="64"/>
    </row>
    <row r="14" spans="1:8" ht="20.100000000000001" customHeight="1" x14ac:dyDescent="0.25">
      <c r="A14" s="72" t="s">
        <v>368</v>
      </c>
      <c r="B14" s="64"/>
      <c r="C14" s="64"/>
      <c r="D14" s="64"/>
      <c r="E14" s="64"/>
      <c r="F14" s="64"/>
    </row>
    <row r="15" spans="1:8" ht="20.100000000000001" customHeight="1" x14ac:dyDescent="0.25">
      <c r="A15" s="6" t="s">
        <v>369</v>
      </c>
      <c r="B15" s="6" t="s">
        <v>370</v>
      </c>
      <c r="C15" s="6" t="s">
        <v>371</v>
      </c>
      <c r="D15" s="6" t="s">
        <v>372</v>
      </c>
      <c r="E15" s="6" t="s">
        <v>373</v>
      </c>
      <c r="F15" s="6" t="s">
        <v>374</v>
      </c>
    </row>
    <row r="16" spans="1:8" ht="213.75" x14ac:dyDescent="0.25">
      <c r="A16" s="7" t="s">
        <v>375</v>
      </c>
      <c r="B16" s="16" t="s">
        <v>587</v>
      </c>
      <c r="C16" s="16" t="s">
        <v>592</v>
      </c>
      <c r="D16" s="16" t="s">
        <v>589</v>
      </c>
      <c r="E16" s="16" t="s">
        <v>588</v>
      </c>
      <c r="F16" s="16" t="s">
        <v>590</v>
      </c>
      <c r="H16">
        <v>115223</v>
      </c>
    </row>
    <row r="17" spans="1:8" ht="213.75" x14ac:dyDescent="0.25">
      <c r="A17" s="7" t="s">
        <v>377</v>
      </c>
      <c r="B17" s="16" t="s">
        <v>591</v>
      </c>
      <c r="C17" s="16" t="s">
        <v>593</v>
      </c>
      <c r="D17" s="16" t="s">
        <v>618</v>
      </c>
      <c r="E17" s="16" t="s">
        <v>594</v>
      </c>
      <c r="F17" s="16" t="s">
        <v>595</v>
      </c>
    </row>
    <row r="18" spans="1:8" ht="112.5" x14ac:dyDescent="0.25">
      <c r="A18" s="7" t="s">
        <v>378</v>
      </c>
      <c r="B18" s="16" t="s">
        <v>596</v>
      </c>
      <c r="C18" s="16" t="s">
        <v>597</v>
      </c>
      <c r="D18" s="16" t="s">
        <v>598</v>
      </c>
      <c r="E18" s="16" t="s">
        <v>599</v>
      </c>
      <c r="F18" s="16" t="s">
        <v>600</v>
      </c>
    </row>
    <row r="19" spans="1:8" ht="191.25" x14ac:dyDescent="0.25">
      <c r="A19" s="7" t="s">
        <v>379</v>
      </c>
      <c r="B19" s="16" t="s">
        <v>601</v>
      </c>
      <c r="C19" s="16" t="s">
        <v>571</v>
      </c>
      <c r="D19" s="16" t="s">
        <v>602</v>
      </c>
      <c r="E19" s="16" t="s">
        <v>603</v>
      </c>
      <c r="F19" s="16" t="s">
        <v>604</v>
      </c>
    </row>
    <row r="20" spans="1:8" ht="135" x14ac:dyDescent="0.25">
      <c r="A20" s="7" t="s">
        <v>380</v>
      </c>
      <c r="B20" s="16" t="s">
        <v>605</v>
      </c>
      <c r="C20" s="8" t="s">
        <v>606</v>
      </c>
      <c r="D20" s="8" t="s">
        <v>607</v>
      </c>
      <c r="E20" s="8" t="s">
        <v>608</v>
      </c>
      <c r="F20" s="8" t="s">
        <v>609</v>
      </c>
      <c r="H20">
        <v>19203.833333333299</v>
      </c>
    </row>
    <row r="21" spans="1:8" ht="337.5" x14ac:dyDescent="0.25">
      <c r="A21" s="7" t="s">
        <v>381</v>
      </c>
      <c r="B21" s="8" t="s">
        <v>610</v>
      </c>
      <c r="C21" s="8" t="s">
        <v>611</v>
      </c>
      <c r="D21" s="8" t="s">
        <v>612</v>
      </c>
      <c r="E21" s="8" t="s">
        <v>613</v>
      </c>
      <c r="F21" s="8" t="s">
        <v>614</v>
      </c>
    </row>
    <row r="22" spans="1:8" ht="405" x14ac:dyDescent="0.25">
      <c r="A22" s="7" t="s">
        <v>382</v>
      </c>
      <c r="B22" s="16" t="s">
        <v>615</v>
      </c>
      <c r="C22" s="16" t="s">
        <v>616</v>
      </c>
      <c r="D22" s="8" t="s">
        <v>617</v>
      </c>
      <c r="E22" s="16" t="s">
        <v>619</v>
      </c>
      <c r="F22" s="8" t="s">
        <v>620</v>
      </c>
    </row>
    <row r="23" spans="1:8" ht="123.75" x14ac:dyDescent="0.25">
      <c r="A23" s="7" t="s">
        <v>383</v>
      </c>
      <c r="B23" s="16" t="s">
        <v>621</v>
      </c>
      <c r="C23" s="16" t="s">
        <v>622</v>
      </c>
      <c r="D23" s="16" t="s">
        <v>623</v>
      </c>
      <c r="E23" s="16" t="s">
        <v>624</v>
      </c>
      <c r="F23" s="16" t="s">
        <v>625</v>
      </c>
    </row>
    <row r="24" spans="1:8" ht="67.5" x14ac:dyDescent="0.25">
      <c r="A24" s="29" t="s">
        <v>629</v>
      </c>
      <c r="B24" s="16" t="s">
        <v>630</v>
      </c>
      <c r="C24" s="16" t="s">
        <v>631</v>
      </c>
      <c r="D24" s="16" t="s">
        <v>632</v>
      </c>
      <c r="E24" s="16" t="s">
        <v>633</v>
      </c>
      <c r="F24" s="16" t="s">
        <v>625</v>
      </c>
    </row>
    <row r="25" spans="1:8" ht="21.95" customHeight="1" x14ac:dyDescent="0.25">
      <c r="A25" s="7" t="s">
        <v>384</v>
      </c>
      <c r="B25" s="8" t="s">
        <v>376</v>
      </c>
      <c r="C25" s="8" t="s">
        <v>376</v>
      </c>
      <c r="D25" s="8" t="s">
        <v>376</v>
      </c>
      <c r="E25" s="8" t="s">
        <v>376</v>
      </c>
      <c r="F25" s="8" t="s">
        <v>376</v>
      </c>
    </row>
    <row r="26" spans="1:8" x14ac:dyDescent="0.25">
      <c r="B26" s="28"/>
      <c r="C26" s="28"/>
    </row>
    <row r="27" spans="1:8" ht="26.1" customHeight="1" x14ac:dyDescent="0.25">
      <c r="A27" s="75" t="s">
        <v>385</v>
      </c>
      <c r="B27" s="64"/>
      <c r="C27" s="64"/>
      <c r="D27" s="64"/>
      <c r="E27" s="64"/>
      <c r="F27" s="64"/>
    </row>
  </sheetData>
  <mergeCells count="13">
    <mergeCell ref="A27:F27"/>
    <mergeCell ref="A8:F8"/>
    <mergeCell ref="A6:F6"/>
    <mergeCell ref="A12:F12"/>
    <mergeCell ref="A4:F4"/>
    <mergeCell ref="A7:F7"/>
    <mergeCell ref="A2:F2"/>
    <mergeCell ref="A11:F11"/>
    <mergeCell ref="A10:F10"/>
    <mergeCell ref="A14:F14"/>
    <mergeCell ref="A1:F1"/>
    <mergeCell ref="A5:F5"/>
    <mergeCell ref="A9:F9"/>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4"/>
  <sheetViews>
    <sheetView topLeftCell="A39" zoomScaleNormal="100" workbookViewId="0">
      <selection activeCell="D64" sqref="D64"/>
    </sheetView>
  </sheetViews>
  <sheetFormatPr defaultRowHeight="15" x14ac:dyDescent="0.25"/>
  <cols>
    <col min="1" max="1" width="11" customWidth="1"/>
    <col min="2" max="2" width="12" style="34" customWidth="1"/>
    <col min="3" max="3" width="10" customWidth="1"/>
    <col min="4" max="4" width="16" customWidth="1"/>
    <col min="5" max="5" width="8" customWidth="1"/>
    <col min="6" max="6" width="16" customWidth="1"/>
    <col min="7" max="7" width="18" customWidth="1"/>
    <col min="8" max="8" width="10" customWidth="1"/>
    <col min="9" max="9" width="13.85546875" bestFit="1" customWidth="1"/>
    <col min="10" max="10" width="12" customWidth="1"/>
    <col min="11" max="11" width="14" customWidth="1"/>
  </cols>
  <sheetData>
    <row r="1" spans="1:12" ht="26.1" customHeight="1" x14ac:dyDescent="0.25">
      <c r="A1" s="63" t="s">
        <v>0</v>
      </c>
      <c r="B1" s="64"/>
      <c r="C1" s="64"/>
      <c r="D1" s="64"/>
      <c r="E1" s="64"/>
      <c r="F1" s="64"/>
      <c r="G1" s="64"/>
      <c r="H1" s="64"/>
      <c r="I1" s="64"/>
      <c r="J1" s="64"/>
      <c r="K1" s="64"/>
    </row>
    <row r="2" spans="1:12" ht="14.1" customHeight="1" x14ac:dyDescent="0.25">
      <c r="A2" s="67" t="s">
        <v>1</v>
      </c>
      <c r="B2" s="64"/>
      <c r="C2" s="64"/>
      <c r="D2" s="64"/>
      <c r="E2" s="64"/>
      <c r="F2" s="64"/>
      <c r="G2" s="64"/>
      <c r="H2" s="64"/>
      <c r="I2" s="64"/>
      <c r="J2" s="64"/>
      <c r="K2" s="64"/>
    </row>
    <row r="3" spans="1:12" ht="20.100000000000001" customHeight="1" x14ac:dyDescent="0.25">
      <c r="A3" s="1" t="s">
        <v>2</v>
      </c>
      <c r="B3" s="31" t="s">
        <v>3</v>
      </c>
      <c r="C3" s="1" t="s">
        <v>4</v>
      </c>
      <c r="D3" s="1" t="s">
        <v>5</v>
      </c>
      <c r="E3" s="1" t="s">
        <v>6</v>
      </c>
      <c r="F3" s="1" t="s">
        <v>7</v>
      </c>
      <c r="G3" s="1" t="s">
        <v>8</v>
      </c>
      <c r="H3" s="1" t="s">
        <v>9</v>
      </c>
      <c r="I3" s="1" t="s">
        <v>10</v>
      </c>
      <c r="J3" s="1" t="s">
        <v>11</v>
      </c>
      <c r="K3" s="1" t="s">
        <v>12</v>
      </c>
    </row>
    <row r="4" spans="1:12" ht="15" customHeight="1" x14ac:dyDescent="0.25">
      <c r="A4" s="2" t="s">
        <v>13</v>
      </c>
      <c r="B4" s="32">
        <v>46055</v>
      </c>
      <c r="C4" s="2" t="s">
        <v>15</v>
      </c>
      <c r="D4" s="3" t="s">
        <v>16</v>
      </c>
      <c r="E4" s="2" t="s">
        <v>17</v>
      </c>
      <c r="F4" s="2" t="s">
        <v>18</v>
      </c>
      <c r="G4" s="3" t="s">
        <v>19</v>
      </c>
      <c r="H4" s="2">
        <v>1</v>
      </c>
      <c r="I4" s="2">
        <v>79</v>
      </c>
      <c r="J4" s="2">
        <v>79</v>
      </c>
      <c r="K4" s="2" t="s">
        <v>20</v>
      </c>
      <c r="L4">
        <f>AVERAGE(J4:J203)</f>
        <v>576.11500000000001</v>
      </c>
    </row>
    <row r="5" spans="1:12" ht="15" customHeight="1" x14ac:dyDescent="0.25">
      <c r="A5" s="4" t="s">
        <v>21</v>
      </c>
      <c r="B5" s="33">
        <v>46084</v>
      </c>
      <c r="C5" s="4" t="s">
        <v>23</v>
      </c>
      <c r="D5" s="5" t="s">
        <v>24</v>
      </c>
      <c r="E5" s="4" t="s">
        <v>25</v>
      </c>
      <c r="F5" s="4" t="s">
        <v>26</v>
      </c>
      <c r="G5" s="5" t="s">
        <v>27</v>
      </c>
      <c r="H5" s="4">
        <v>2</v>
      </c>
      <c r="I5" s="4">
        <v>129</v>
      </c>
      <c r="J5" s="4">
        <v>258</v>
      </c>
      <c r="K5" s="4" t="s">
        <v>28</v>
      </c>
    </row>
    <row r="6" spans="1:12" ht="15" customHeight="1" x14ac:dyDescent="0.25">
      <c r="A6" s="2" t="s">
        <v>29</v>
      </c>
      <c r="B6" s="32">
        <v>46116</v>
      </c>
      <c r="C6" s="2" t="s">
        <v>31</v>
      </c>
      <c r="D6" s="3" t="s">
        <v>32</v>
      </c>
      <c r="E6" s="2" t="s">
        <v>33</v>
      </c>
      <c r="F6" s="2" t="s">
        <v>34</v>
      </c>
      <c r="G6" s="3" t="s">
        <v>35</v>
      </c>
      <c r="H6" s="2">
        <v>1</v>
      </c>
      <c r="I6" s="2">
        <v>88</v>
      </c>
      <c r="J6" s="2">
        <v>88</v>
      </c>
      <c r="K6" s="2" t="s">
        <v>36</v>
      </c>
      <c r="L6">
        <f>SUM(J4:J203)</f>
        <v>115223</v>
      </c>
    </row>
    <row r="7" spans="1:12" ht="15" customHeight="1" x14ac:dyDescent="0.25">
      <c r="A7" s="4" t="s">
        <v>37</v>
      </c>
      <c r="B7" s="33">
        <v>46147</v>
      </c>
      <c r="C7" s="35" t="s">
        <v>39</v>
      </c>
      <c r="D7" s="5" t="s">
        <v>40</v>
      </c>
      <c r="E7" s="4" t="s">
        <v>41</v>
      </c>
      <c r="F7" s="4" t="s">
        <v>42</v>
      </c>
      <c r="G7" s="5" t="s">
        <v>43</v>
      </c>
      <c r="H7" s="4">
        <v>3</v>
      </c>
      <c r="I7" s="4">
        <v>179</v>
      </c>
      <c r="J7" s="4">
        <v>537</v>
      </c>
      <c r="K7" s="4" t="s">
        <v>20</v>
      </c>
    </row>
    <row r="8" spans="1:12" ht="15" customHeight="1" x14ac:dyDescent="0.25">
      <c r="A8" s="2" t="s">
        <v>44</v>
      </c>
      <c r="B8" s="32">
        <v>46179</v>
      </c>
      <c r="C8" s="2" t="s">
        <v>46</v>
      </c>
      <c r="D8" s="3" t="s">
        <v>47</v>
      </c>
      <c r="E8" s="2" t="s">
        <v>17</v>
      </c>
      <c r="F8" s="2" t="s">
        <v>48</v>
      </c>
      <c r="G8" s="3" t="s">
        <v>49</v>
      </c>
      <c r="H8" s="2">
        <v>1</v>
      </c>
      <c r="I8" s="2">
        <v>349</v>
      </c>
      <c r="J8" s="2">
        <v>349</v>
      </c>
      <c r="K8" s="2" t="s">
        <v>28</v>
      </c>
    </row>
    <row r="9" spans="1:12" ht="15" customHeight="1" x14ac:dyDescent="0.25">
      <c r="A9" s="4" t="s">
        <v>50</v>
      </c>
      <c r="B9" s="33">
        <v>46029</v>
      </c>
      <c r="C9" s="4" t="s">
        <v>52</v>
      </c>
      <c r="D9" s="5" t="s">
        <v>53</v>
      </c>
      <c r="E9" s="4" t="s">
        <v>25</v>
      </c>
      <c r="F9" s="4" t="s">
        <v>18</v>
      </c>
      <c r="G9" s="5" t="s">
        <v>54</v>
      </c>
      <c r="H9" s="4">
        <v>2</v>
      </c>
      <c r="I9" s="4">
        <v>89</v>
      </c>
      <c r="J9" s="4">
        <v>178</v>
      </c>
      <c r="K9" s="4" t="s">
        <v>36</v>
      </c>
    </row>
    <row r="10" spans="1:12" ht="15" customHeight="1" x14ac:dyDescent="0.25">
      <c r="A10" s="2" t="s">
        <v>55</v>
      </c>
      <c r="B10" s="32">
        <v>46061</v>
      </c>
      <c r="C10" s="2" t="s">
        <v>15</v>
      </c>
      <c r="D10" s="3" t="s">
        <v>57</v>
      </c>
      <c r="E10" s="2" t="s">
        <v>33</v>
      </c>
      <c r="F10" s="2" t="s">
        <v>26</v>
      </c>
      <c r="G10" s="3" t="s">
        <v>58</v>
      </c>
      <c r="H10" s="2">
        <v>1</v>
      </c>
      <c r="I10" s="2">
        <v>399</v>
      </c>
      <c r="J10" s="2">
        <v>399</v>
      </c>
      <c r="K10" s="2" t="s">
        <v>20</v>
      </c>
    </row>
    <row r="11" spans="1:12" ht="15" customHeight="1" x14ac:dyDescent="0.25">
      <c r="A11" s="4" t="s">
        <v>59</v>
      </c>
      <c r="B11" s="33">
        <v>46090</v>
      </c>
      <c r="C11" s="4" t="s">
        <v>23</v>
      </c>
      <c r="D11" s="5" t="s">
        <v>61</v>
      </c>
      <c r="E11" s="4" t="s">
        <v>41</v>
      </c>
      <c r="F11" s="4" t="s">
        <v>34</v>
      </c>
      <c r="G11" s="5" t="s">
        <v>62</v>
      </c>
      <c r="H11" s="4">
        <v>1</v>
      </c>
      <c r="I11" s="4">
        <v>24</v>
      </c>
      <c r="J11" s="4">
        <v>24</v>
      </c>
      <c r="K11" s="4" t="s">
        <v>28</v>
      </c>
    </row>
    <row r="12" spans="1:12" ht="15" customHeight="1" x14ac:dyDescent="0.25">
      <c r="A12" s="2" t="s">
        <v>63</v>
      </c>
      <c r="B12" s="32">
        <v>46122</v>
      </c>
      <c r="C12" s="2" t="s">
        <v>31</v>
      </c>
      <c r="D12" s="3" t="s">
        <v>65</v>
      </c>
      <c r="E12" s="2" t="s">
        <v>17</v>
      </c>
      <c r="F12" s="2" t="s">
        <v>42</v>
      </c>
      <c r="G12" s="3" t="s">
        <v>66</v>
      </c>
      <c r="H12" s="2">
        <v>2</v>
      </c>
      <c r="I12" s="2">
        <v>249</v>
      </c>
      <c r="J12" s="2">
        <v>498</v>
      </c>
      <c r="K12" s="2" t="s">
        <v>36</v>
      </c>
    </row>
    <row r="13" spans="1:12" ht="15" customHeight="1" x14ac:dyDescent="0.25">
      <c r="A13" s="4" t="s">
        <v>67</v>
      </c>
      <c r="B13" s="33">
        <v>46153</v>
      </c>
      <c r="C13" s="4" t="s">
        <v>39</v>
      </c>
      <c r="D13" s="5" t="s">
        <v>69</v>
      </c>
      <c r="E13" s="4" t="s">
        <v>25</v>
      </c>
      <c r="F13" s="4" t="s">
        <v>48</v>
      </c>
      <c r="G13" s="5" t="s">
        <v>70</v>
      </c>
      <c r="H13" s="4">
        <v>1</v>
      </c>
      <c r="I13" s="4">
        <v>1099</v>
      </c>
      <c r="J13" s="4">
        <v>1099</v>
      </c>
      <c r="K13" s="4" t="s">
        <v>20</v>
      </c>
    </row>
    <row r="14" spans="1:12" ht="15" customHeight="1" x14ac:dyDescent="0.25">
      <c r="A14" s="2" t="s">
        <v>71</v>
      </c>
      <c r="B14" s="32">
        <v>46185</v>
      </c>
      <c r="C14" s="2" t="s">
        <v>46</v>
      </c>
      <c r="D14" s="3" t="s">
        <v>73</v>
      </c>
      <c r="E14" s="2" t="s">
        <v>33</v>
      </c>
      <c r="F14" s="2" t="s">
        <v>18</v>
      </c>
      <c r="G14" s="3" t="s">
        <v>74</v>
      </c>
      <c r="H14" s="2">
        <v>1</v>
      </c>
      <c r="I14" s="2">
        <v>95</v>
      </c>
      <c r="J14" s="2">
        <v>95</v>
      </c>
      <c r="K14" s="2" t="s">
        <v>28</v>
      </c>
    </row>
    <row r="15" spans="1:12" ht="15" customHeight="1" x14ac:dyDescent="0.25">
      <c r="A15" s="4" t="s">
        <v>75</v>
      </c>
      <c r="B15" s="33">
        <v>46035</v>
      </c>
      <c r="C15" s="4" t="s">
        <v>52</v>
      </c>
      <c r="D15" s="5" t="s">
        <v>77</v>
      </c>
      <c r="E15" s="4" t="s">
        <v>41</v>
      </c>
      <c r="F15" s="4" t="s">
        <v>26</v>
      </c>
      <c r="G15" s="5" t="s">
        <v>78</v>
      </c>
      <c r="H15" s="4">
        <v>2</v>
      </c>
      <c r="I15" s="4">
        <v>549</v>
      </c>
      <c r="J15" s="4">
        <v>1098</v>
      </c>
      <c r="K15" s="4" t="s">
        <v>36</v>
      </c>
    </row>
    <row r="16" spans="1:12" ht="15" customHeight="1" x14ac:dyDescent="0.25">
      <c r="A16" s="2" t="s">
        <v>79</v>
      </c>
      <c r="B16" s="32">
        <v>46067</v>
      </c>
      <c r="C16" s="2" t="s">
        <v>15</v>
      </c>
      <c r="D16" s="3" t="s">
        <v>16</v>
      </c>
      <c r="E16" s="2" t="s">
        <v>17</v>
      </c>
      <c r="F16" s="2" t="s">
        <v>34</v>
      </c>
      <c r="G16" s="3" t="s">
        <v>81</v>
      </c>
      <c r="H16" s="2">
        <v>1</v>
      </c>
      <c r="I16" s="2">
        <v>125</v>
      </c>
      <c r="J16" s="2">
        <v>125</v>
      </c>
      <c r="K16" s="2" t="s">
        <v>20</v>
      </c>
    </row>
    <row r="17" spans="1:11" ht="15" customHeight="1" x14ac:dyDescent="0.25">
      <c r="A17" s="4" t="s">
        <v>82</v>
      </c>
      <c r="B17" s="33">
        <v>46096</v>
      </c>
      <c r="C17" s="4" t="s">
        <v>23</v>
      </c>
      <c r="D17" s="5" t="s">
        <v>24</v>
      </c>
      <c r="E17" s="4" t="s">
        <v>25</v>
      </c>
      <c r="F17" s="4" t="s">
        <v>42</v>
      </c>
      <c r="G17" s="5" t="s">
        <v>84</v>
      </c>
      <c r="H17" s="4">
        <v>3</v>
      </c>
      <c r="I17" s="4">
        <v>299</v>
      </c>
      <c r="J17" s="4">
        <v>897</v>
      </c>
      <c r="K17" s="4" t="s">
        <v>28</v>
      </c>
    </row>
    <row r="18" spans="1:11" ht="15" customHeight="1" x14ac:dyDescent="0.25">
      <c r="A18" s="2" t="s">
        <v>85</v>
      </c>
      <c r="B18" s="32">
        <v>46128</v>
      </c>
      <c r="C18" s="2" t="s">
        <v>31</v>
      </c>
      <c r="D18" s="3" t="s">
        <v>32</v>
      </c>
      <c r="E18" s="2" t="s">
        <v>33</v>
      </c>
      <c r="F18" s="2" t="s">
        <v>48</v>
      </c>
      <c r="G18" s="3" t="s">
        <v>87</v>
      </c>
      <c r="H18" s="2">
        <v>1</v>
      </c>
      <c r="I18" s="2">
        <v>249</v>
      </c>
      <c r="J18" s="2">
        <v>249</v>
      </c>
      <c r="K18" s="2" t="s">
        <v>36</v>
      </c>
    </row>
    <row r="19" spans="1:11" ht="15" customHeight="1" x14ac:dyDescent="0.25">
      <c r="A19" s="4" t="s">
        <v>88</v>
      </c>
      <c r="B19" s="33">
        <v>46159</v>
      </c>
      <c r="C19" s="4" t="s">
        <v>39</v>
      </c>
      <c r="D19" s="5" t="s">
        <v>40</v>
      </c>
      <c r="E19" s="4" t="s">
        <v>41</v>
      </c>
      <c r="F19" s="4" t="s">
        <v>18</v>
      </c>
      <c r="G19" s="5" t="s">
        <v>90</v>
      </c>
      <c r="H19" s="4">
        <v>2</v>
      </c>
      <c r="I19" s="4">
        <v>180</v>
      </c>
      <c r="J19" s="4">
        <v>360</v>
      </c>
      <c r="K19" s="4" t="s">
        <v>20</v>
      </c>
    </row>
    <row r="20" spans="1:11" ht="15" customHeight="1" x14ac:dyDescent="0.25">
      <c r="A20" s="2" t="s">
        <v>91</v>
      </c>
      <c r="B20" s="32">
        <v>46191</v>
      </c>
      <c r="C20" s="2" t="s">
        <v>46</v>
      </c>
      <c r="D20" s="3" t="s">
        <v>47</v>
      </c>
      <c r="E20" s="2" t="s">
        <v>17</v>
      </c>
      <c r="F20" s="2" t="s">
        <v>26</v>
      </c>
      <c r="G20" s="3" t="s">
        <v>93</v>
      </c>
      <c r="H20" s="2">
        <v>1</v>
      </c>
      <c r="I20" s="2">
        <v>549</v>
      </c>
      <c r="J20" s="2">
        <v>549</v>
      </c>
      <c r="K20" s="2" t="s">
        <v>28</v>
      </c>
    </row>
    <row r="21" spans="1:11" ht="15" customHeight="1" x14ac:dyDescent="0.25">
      <c r="A21" s="4" t="s">
        <v>94</v>
      </c>
      <c r="B21" s="33">
        <v>46041</v>
      </c>
      <c r="C21" s="4" t="s">
        <v>52</v>
      </c>
      <c r="D21" s="5" t="s">
        <v>53</v>
      </c>
      <c r="E21" s="4" t="s">
        <v>25</v>
      </c>
      <c r="F21" s="4" t="s">
        <v>34</v>
      </c>
      <c r="G21" s="5" t="s">
        <v>96</v>
      </c>
      <c r="H21" s="4">
        <v>1</v>
      </c>
      <c r="I21" s="4">
        <v>42</v>
      </c>
      <c r="J21" s="4">
        <v>42</v>
      </c>
      <c r="K21" s="4" t="s">
        <v>36</v>
      </c>
    </row>
    <row r="22" spans="1:11" ht="15" customHeight="1" x14ac:dyDescent="0.25">
      <c r="A22" s="2" t="s">
        <v>97</v>
      </c>
      <c r="B22" s="32">
        <v>46073</v>
      </c>
      <c r="C22" s="2" t="s">
        <v>15</v>
      </c>
      <c r="D22" s="3" t="s">
        <v>57</v>
      </c>
      <c r="E22" s="2" t="s">
        <v>33</v>
      </c>
      <c r="F22" s="2" t="s">
        <v>42</v>
      </c>
      <c r="G22" s="3" t="s">
        <v>99</v>
      </c>
      <c r="H22" s="2">
        <v>2</v>
      </c>
      <c r="I22" s="2">
        <v>349</v>
      </c>
      <c r="J22" s="2">
        <v>698</v>
      </c>
      <c r="K22" s="2" t="s">
        <v>20</v>
      </c>
    </row>
    <row r="23" spans="1:11" ht="15" customHeight="1" x14ac:dyDescent="0.25">
      <c r="A23" s="4" t="s">
        <v>100</v>
      </c>
      <c r="B23" s="33">
        <v>46102</v>
      </c>
      <c r="C23" s="4" t="s">
        <v>23</v>
      </c>
      <c r="D23" s="5" t="s">
        <v>61</v>
      </c>
      <c r="E23" s="4" t="s">
        <v>41</v>
      </c>
      <c r="F23" s="4" t="s">
        <v>48</v>
      </c>
      <c r="G23" s="5" t="s">
        <v>102</v>
      </c>
      <c r="H23" s="4">
        <v>1</v>
      </c>
      <c r="I23" s="4">
        <v>1299</v>
      </c>
      <c r="J23" s="4">
        <v>1299</v>
      </c>
      <c r="K23" s="4" t="s">
        <v>28</v>
      </c>
    </row>
    <row r="24" spans="1:11" ht="15" customHeight="1" x14ac:dyDescent="0.25">
      <c r="A24" s="2" t="s">
        <v>103</v>
      </c>
      <c r="B24" s="32">
        <v>46134</v>
      </c>
      <c r="C24" s="2" t="s">
        <v>31</v>
      </c>
      <c r="D24" s="3" t="s">
        <v>65</v>
      </c>
      <c r="E24" s="2" t="s">
        <v>17</v>
      </c>
      <c r="F24" s="2" t="s">
        <v>18</v>
      </c>
      <c r="G24" s="3" t="s">
        <v>105</v>
      </c>
      <c r="H24" s="2">
        <v>1</v>
      </c>
      <c r="I24" s="2">
        <v>65</v>
      </c>
      <c r="J24" s="2">
        <v>65</v>
      </c>
      <c r="K24" s="2" t="s">
        <v>36</v>
      </c>
    </row>
    <row r="25" spans="1:11" ht="15" customHeight="1" x14ac:dyDescent="0.25">
      <c r="A25" s="4" t="s">
        <v>106</v>
      </c>
      <c r="B25" s="33">
        <v>46165</v>
      </c>
      <c r="C25" s="4" t="s">
        <v>39</v>
      </c>
      <c r="D25" s="5" t="s">
        <v>69</v>
      </c>
      <c r="E25" s="4" t="s">
        <v>25</v>
      </c>
      <c r="F25" s="4" t="s">
        <v>26</v>
      </c>
      <c r="G25" s="5" t="s">
        <v>108</v>
      </c>
      <c r="H25" s="4">
        <v>2</v>
      </c>
      <c r="I25" s="4">
        <v>179</v>
      </c>
      <c r="J25" s="4">
        <v>358</v>
      </c>
      <c r="K25" s="4" t="s">
        <v>20</v>
      </c>
    </row>
    <row r="26" spans="1:11" ht="15" customHeight="1" x14ac:dyDescent="0.25">
      <c r="A26" s="2" t="s">
        <v>109</v>
      </c>
      <c r="B26" s="32">
        <v>46197</v>
      </c>
      <c r="C26" s="2" t="s">
        <v>46</v>
      </c>
      <c r="D26" s="3" t="s">
        <v>73</v>
      </c>
      <c r="E26" s="2" t="s">
        <v>33</v>
      </c>
      <c r="F26" s="2" t="s">
        <v>34</v>
      </c>
      <c r="G26" s="3" t="s">
        <v>111</v>
      </c>
      <c r="H26" s="2">
        <v>1</v>
      </c>
      <c r="I26" s="2">
        <v>38</v>
      </c>
      <c r="J26" s="2">
        <v>38</v>
      </c>
      <c r="K26" s="2" t="s">
        <v>28</v>
      </c>
    </row>
    <row r="27" spans="1:11" ht="15" customHeight="1" x14ac:dyDescent="0.25">
      <c r="A27" s="4" t="s">
        <v>112</v>
      </c>
      <c r="B27" s="33">
        <v>46047</v>
      </c>
      <c r="C27" s="4" t="s">
        <v>52</v>
      </c>
      <c r="D27" s="5" t="s">
        <v>77</v>
      </c>
      <c r="E27" s="4" t="s">
        <v>41</v>
      </c>
      <c r="F27" s="4" t="s">
        <v>42</v>
      </c>
      <c r="G27" s="5" t="s">
        <v>114</v>
      </c>
      <c r="H27" s="4">
        <v>3</v>
      </c>
      <c r="I27" s="4">
        <v>1495</v>
      </c>
      <c r="J27" s="4">
        <v>4485</v>
      </c>
      <c r="K27" s="4" t="s">
        <v>36</v>
      </c>
    </row>
    <row r="28" spans="1:11" ht="15" customHeight="1" x14ac:dyDescent="0.25">
      <c r="A28" s="2" t="s">
        <v>115</v>
      </c>
      <c r="B28" s="32">
        <v>46079</v>
      </c>
      <c r="C28" s="2" t="s">
        <v>15</v>
      </c>
      <c r="D28" s="3" t="s">
        <v>16</v>
      </c>
      <c r="E28" s="2" t="s">
        <v>17</v>
      </c>
      <c r="F28" s="2" t="s">
        <v>48</v>
      </c>
      <c r="G28" s="3" t="s">
        <v>117</v>
      </c>
      <c r="H28" s="2">
        <v>1</v>
      </c>
      <c r="I28" s="2">
        <v>1999</v>
      </c>
      <c r="J28" s="2">
        <v>1999</v>
      </c>
      <c r="K28" s="2" t="s">
        <v>20</v>
      </c>
    </row>
    <row r="29" spans="1:11" ht="15" customHeight="1" x14ac:dyDescent="0.25">
      <c r="A29" s="4" t="s">
        <v>118</v>
      </c>
      <c r="B29" s="33">
        <v>46108</v>
      </c>
      <c r="C29" s="4" t="s">
        <v>23</v>
      </c>
      <c r="D29" s="5" t="s">
        <v>24</v>
      </c>
      <c r="E29" s="4" t="s">
        <v>25</v>
      </c>
      <c r="F29" s="4" t="s">
        <v>18</v>
      </c>
      <c r="G29" s="5" t="s">
        <v>120</v>
      </c>
      <c r="H29" s="4">
        <v>2</v>
      </c>
      <c r="I29" s="4">
        <v>110</v>
      </c>
      <c r="J29" s="4">
        <v>220</v>
      </c>
      <c r="K29" s="4" t="s">
        <v>28</v>
      </c>
    </row>
    <row r="30" spans="1:11" ht="15" customHeight="1" x14ac:dyDescent="0.25">
      <c r="A30" s="2" t="s">
        <v>121</v>
      </c>
      <c r="B30" s="32">
        <v>46140</v>
      </c>
      <c r="C30" s="2" t="s">
        <v>31</v>
      </c>
      <c r="D30" s="3" t="s">
        <v>32</v>
      </c>
      <c r="E30" s="2" t="s">
        <v>33</v>
      </c>
      <c r="F30" s="2" t="s">
        <v>26</v>
      </c>
      <c r="G30" s="3" t="s">
        <v>123</v>
      </c>
      <c r="H30" s="2">
        <v>1</v>
      </c>
      <c r="I30" s="2">
        <v>149</v>
      </c>
      <c r="J30" s="2">
        <v>149</v>
      </c>
      <c r="K30" s="2" t="s">
        <v>36</v>
      </c>
    </row>
    <row r="31" spans="1:11" ht="15" customHeight="1" x14ac:dyDescent="0.25">
      <c r="A31" s="4" t="s">
        <v>124</v>
      </c>
      <c r="B31" s="33">
        <v>46143</v>
      </c>
      <c r="C31" s="4" t="s">
        <v>39</v>
      </c>
      <c r="D31" s="5" t="s">
        <v>40</v>
      </c>
      <c r="E31" s="4" t="s">
        <v>41</v>
      </c>
      <c r="F31" s="4" t="s">
        <v>34</v>
      </c>
      <c r="G31" s="5" t="s">
        <v>126</v>
      </c>
      <c r="H31" s="4">
        <v>1</v>
      </c>
      <c r="I31" s="4">
        <v>185</v>
      </c>
      <c r="J31" s="4">
        <v>185</v>
      </c>
      <c r="K31" s="4" t="s">
        <v>20</v>
      </c>
    </row>
    <row r="32" spans="1:11" ht="15" customHeight="1" x14ac:dyDescent="0.25">
      <c r="A32" s="2" t="s">
        <v>127</v>
      </c>
      <c r="B32" s="32">
        <v>46175</v>
      </c>
      <c r="C32" s="2" t="s">
        <v>46</v>
      </c>
      <c r="D32" s="3" t="s">
        <v>47</v>
      </c>
      <c r="E32" s="2" t="s">
        <v>17</v>
      </c>
      <c r="F32" s="2" t="s">
        <v>42</v>
      </c>
      <c r="G32" s="3" t="s">
        <v>129</v>
      </c>
      <c r="H32" s="2">
        <v>2</v>
      </c>
      <c r="I32" s="2">
        <v>149</v>
      </c>
      <c r="J32" s="2">
        <v>298</v>
      </c>
      <c r="K32" s="2" t="s">
        <v>28</v>
      </c>
    </row>
    <row r="33" spans="1:11" ht="15" customHeight="1" x14ac:dyDescent="0.25">
      <c r="A33" s="4" t="s">
        <v>130</v>
      </c>
      <c r="B33" s="33">
        <v>46025</v>
      </c>
      <c r="C33" s="4" t="s">
        <v>52</v>
      </c>
      <c r="D33" s="5" t="s">
        <v>53</v>
      </c>
      <c r="E33" s="4" t="s">
        <v>25</v>
      </c>
      <c r="F33" s="4" t="s">
        <v>48</v>
      </c>
      <c r="G33" s="5" t="s">
        <v>132</v>
      </c>
      <c r="H33" s="4">
        <v>1</v>
      </c>
      <c r="I33" s="4">
        <v>999</v>
      </c>
      <c r="J33" s="4">
        <v>999</v>
      </c>
      <c r="K33" s="4" t="s">
        <v>36</v>
      </c>
    </row>
    <row r="34" spans="1:11" ht="15" customHeight="1" x14ac:dyDescent="0.25">
      <c r="A34" s="2" t="s">
        <v>133</v>
      </c>
      <c r="B34" s="32">
        <v>46057</v>
      </c>
      <c r="C34" s="2" t="s">
        <v>15</v>
      </c>
      <c r="D34" s="3" t="s">
        <v>57</v>
      </c>
      <c r="E34" s="2" t="s">
        <v>33</v>
      </c>
      <c r="F34" s="2" t="s">
        <v>18</v>
      </c>
      <c r="G34" s="3" t="s">
        <v>19</v>
      </c>
      <c r="H34" s="2">
        <v>1</v>
      </c>
      <c r="I34" s="2">
        <v>79</v>
      </c>
      <c r="J34" s="2">
        <v>79</v>
      </c>
      <c r="K34" s="2" t="s">
        <v>20</v>
      </c>
    </row>
    <row r="35" spans="1:11" ht="15" customHeight="1" x14ac:dyDescent="0.25">
      <c r="A35" s="4" t="s">
        <v>135</v>
      </c>
      <c r="B35" s="33">
        <v>46086</v>
      </c>
      <c r="C35" s="4" t="s">
        <v>23</v>
      </c>
      <c r="D35" s="5" t="s">
        <v>61</v>
      </c>
      <c r="E35" s="4" t="s">
        <v>41</v>
      </c>
      <c r="F35" s="4" t="s">
        <v>26</v>
      </c>
      <c r="G35" s="5" t="s">
        <v>27</v>
      </c>
      <c r="H35" s="4">
        <v>2</v>
      </c>
      <c r="I35" s="4">
        <v>129</v>
      </c>
      <c r="J35" s="4">
        <v>258</v>
      </c>
      <c r="K35" s="4" t="s">
        <v>28</v>
      </c>
    </row>
    <row r="36" spans="1:11" ht="15" customHeight="1" x14ac:dyDescent="0.25">
      <c r="A36" s="2" t="s">
        <v>137</v>
      </c>
      <c r="B36" s="32">
        <v>46118</v>
      </c>
      <c r="C36" s="2" t="s">
        <v>31</v>
      </c>
      <c r="D36" s="3" t="s">
        <v>65</v>
      </c>
      <c r="E36" s="2" t="s">
        <v>17</v>
      </c>
      <c r="F36" s="2" t="s">
        <v>34</v>
      </c>
      <c r="G36" s="3" t="s">
        <v>35</v>
      </c>
      <c r="H36" s="2">
        <v>1</v>
      </c>
      <c r="I36" s="2">
        <v>88</v>
      </c>
      <c r="J36" s="2">
        <v>88</v>
      </c>
      <c r="K36" s="2" t="s">
        <v>36</v>
      </c>
    </row>
    <row r="37" spans="1:11" ht="15" customHeight="1" x14ac:dyDescent="0.25">
      <c r="A37" s="4" t="s">
        <v>139</v>
      </c>
      <c r="B37" s="33">
        <v>46149</v>
      </c>
      <c r="C37" s="4" t="s">
        <v>39</v>
      </c>
      <c r="D37" s="5" t="s">
        <v>69</v>
      </c>
      <c r="E37" s="4" t="s">
        <v>25</v>
      </c>
      <c r="F37" s="4" t="s">
        <v>42</v>
      </c>
      <c r="G37" s="5" t="s">
        <v>43</v>
      </c>
      <c r="H37" s="4">
        <v>3</v>
      </c>
      <c r="I37" s="4">
        <v>179</v>
      </c>
      <c r="J37" s="4">
        <v>537</v>
      </c>
      <c r="K37" s="4" t="s">
        <v>20</v>
      </c>
    </row>
    <row r="38" spans="1:11" ht="15" customHeight="1" x14ac:dyDescent="0.25">
      <c r="A38" s="2" t="s">
        <v>141</v>
      </c>
      <c r="B38" s="32">
        <v>46181</v>
      </c>
      <c r="C38" s="2" t="s">
        <v>46</v>
      </c>
      <c r="D38" s="3" t="s">
        <v>73</v>
      </c>
      <c r="E38" s="2" t="s">
        <v>33</v>
      </c>
      <c r="F38" s="2" t="s">
        <v>48</v>
      </c>
      <c r="G38" s="3" t="s">
        <v>49</v>
      </c>
      <c r="H38" s="2">
        <v>1</v>
      </c>
      <c r="I38" s="2">
        <v>349</v>
      </c>
      <c r="J38" s="2">
        <v>349</v>
      </c>
      <c r="K38" s="2" t="s">
        <v>28</v>
      </c>
    </row>
    <row r="39" spans="1:11" ht="15" customHeight="1" x14ac:dyDescent="0.25">
      <c r="A39" s="4" t="s">
        <v>143</v>
      </c>
      <c r="B39" s="33">
        <v>46031</v>
      </c>
      <c r="C39" s="4" t="s">
        <v>52</v>
      </c>
      <c r="D39" s="5" t="s">
        <v>77</v>
      </c>
      <c r="E39" s="4" t="s">
        <v>41</v>
      </c>
      <c r="F39" s="4" t="s">
        <v>18</v>
      </c>
      <c r="G39" s="5" t="s">
        <v>54</v>
      </c>
      <c r="H39" s="4">
        <v>2</v>
      </c>
      <c r="I39" s="4">
        <v>89</v>
      </c>
      <c r="J39" s="4">
        <v>178</v>
      </c>
      <c r="K39" s="4" t="s">
        <v>36</v>
      </c>
    </row>
    <row r="40" spans="1:11" ht="15" customHeight="1" x14ac:dyDescent="0.25">
      <c r="A40" s="2" t="s">
        <v>145</v>
      </c>
      <c r="B40" s="32">
        <v>46063</v>
      </c>
      <c r="C40" s="2" t="s">
        <v>15</v>
      </c>
      <c r="D40" s="3" t="s">
        <v>16</v>
      </c>
      <c r="E40" s="2" t="s">
        <v>17</v>
      </c>
      <c r="F40" s="2" t="s">
        <v>26</v>
      </c>
      <c r="G40" s="3" t="s">
        <v>58</v>
      </c>
      <c r="H40" s="2">
        <v>1</v>
      </c>
      <c r="I40" s="2">
        <v>399</v>
      </c>
      <c r="J40" s="2">
        <v>399</v>
      </c>
      <c r="K40" s="2" t="s">
        <v>20</v>
      </c>
    </row>
    <row r="41" spans="1:11" ht="15" customHeight="1" x14ac:dyDescent="0.25">
      <c r="A41" s="4" t="s">
        <v>147</v>
      </c>
      <c r="B41" s="33">
        <v>46092</v>
      </c>
      <c r="C41" s="4" t="s">
        <v>23</v>
      </c>
      <c r="D41" s="5" t="s">
        <v>24</v>
      </c>
      <c r="E41" s="4" t="s">
        <v>25</v>
      </c>
      <c r="F41" s="4" t="s">
        <v>34</v>
      </c>
      <c r="G41" s="5" t="s">
        <v>62</v>
      </c>
      <c r="H41" s="4">
        <v>1</v>
      </c>
      <c r="I41" s="4">
        <v>24</v>
      </c>
      <c r="J41" s="4">
        <v>24</v>
      </c>
      <c r="K41" s="4" t="s">
        <v>28</v>
      </c>
    </row>
    <row r="42" spans="1:11" ht="15" customHeight="1" x14ac:dyDescent="0.25">
      <c r="A42" s="2" t="s">
        <v>149</v>
      </c>
      <c r="B42" s="32">
        <v>46124</v>
      </c>
      <c r="C42" s="2" t="s">
        <v>31</v>
      </c>
      <c r="D42" s="3" t="s">
        <v>32</v>
      </c>
      <c r="E42" s="2" t="s">
        <v>33</v>
      </c>
      <c r="F42" s="2" t="s">
        <v>42</v>
      </c>
      <c r="G42" s="3" t="s">
        <v>66</v>
      </c>
      <c r="H42" s="2">
        <v>2</v>
      </c>
      <c r="I42" s="2">
        <v>249</v>
      </c>
      <c r="J42" s="2">
        <v>498</v>
      </c>
      <c r="K42" s="2" t="s">
        <v>36</v>
      </c>
    </row>
    <row r="43" spans="1:11" ht="15" customHeight="1" x14ac:dyDescent="0.25">
      <c r="A43" s="4" t="s">
        <v>151</v>
      </c>
      <c r="B43" s="33">
        <v>46155</v>
      </c>
      <c r="C43" s="4" t="s">
        <v>39</v>
      </c>
      <c r="D43" s="5" t="s">
        <v>40</v>
      </c>
      <c r="E43" s="4" t="s">
        <v>41</v>
      </c>
      <c r="F43" s="4" t="s">
        <v>48</v>
      </c>
      <c r="G43" s="5" t="s">
        <v>70</v>
      </c>
      <c r="H43" s="4">
        <v>1</v>
      </c>
      <c r="I43" s="4">
        <v>1099</v>
      </c>
      <c r="J43" s="4">
        <v>1099</v>
      </c>
      <c r="K43" s="4" t="s">
        <v>20</v>
      </c>
    </row>
    <row r="44" spans="1:11" ht="15" customHeight="1" x14ac:dyDescent="0.25">
      <c r="A44" s="2" t="s">
        <v>153</v>
      </c>
      <c r="B44" s="32">
        <v>46187</v>
      </c>
      <c r="C44" s="2" t="s">
        <v>46</v>
      </c>
      <c r="D44" s="3" t="s">
        <v>47</v>
      </c>
      <c r="E44" s="2" t="s">
        <v>17</v>
      </c>
      <c r="F44" s="2" t="s">
        <v>18</v>
      </c>
      <c r="G44" s="3" t="s">
        <v>74</v>
      </c>
      <c r="H44" s="2">
        <v>1</v>
      </c>
      <c r="I44" s="2">
        <v>95</v>
      </c>
      <c r="J44" s="2">
        <v>95</v>
      </c>
      <c r="K44" s="2" t="s">
        <v>28</v>
      </c>
    </row>
    <row r="45" spans="1:11" ht="15" customHeight="1" x14ac:dyDescent="0.25">
      <c r="A45" s="4" t="s">
        <v>155</v>
      </c>
      <c r="B45" s="33">
        <v>46037</v>
      </c>
      <c r="C45" s="4" t="s">
        <v>52</v>
      </c>
      <c r="D45" s="5" t="s">
        <v>53</v>
      </c>
      <c r="E45" s="4" t="s">
        <v>25</v>
      </c>
      <c r="F45" s="4" t="s">
        <v>26</v>
      </c>
      <c r="G45" s="5" t="s">
        <v>78</v>
      </c>
      <c r="H45" s="4">
        <v>2</v>
      </c>
      <c r="I45" s="4">
        <v>549</v>
      </c>
      <c r="J45" s="4">
        <v>1098</v>
      </c>
      <c r="K45" s="4" t="s">
        <v>36</v>
      </c>
    </row>
    <row r="46" spans="1:11" ht="15" customHeight="1" x14ac:dyDescent="0.25">
      <c r="A46" s="2" t="s">
        <v>157</v>
      </c>
      <c r="B46" s="32">
        <v>46069</v>
      </c>
      <c r="C46" s="2" t="s">
        <v>15</v>
      </c>
      <c r="D46" s="3" t="s">
        <v>57</v>
      </c>
      <c r="E46" s="2" t="s">
        <v>33</v>
      </c>
      <c r="F46" s="2" t="s">
        <v>34</v>
      </c>
      <c r="G46" s="3" t="s">
        <v>81</v>
      </c>
      <c r="H46" s="2">
        <v>1</v>
      </c>
      <c r="I46" s="2">
        <v>125</v>
      </c>
      <c r="J46" s="2">
        <v>125</v>
      </c>
      <c r="K46" s="2" t="s">
        <v>20</v>
      </c>
    </row>
    <row r="47" spans="1:11" ht="15" customHeight="1" x14ac:dyDescent="0.25">
      <c r="A47" s="4" t="s">
        <v>159</v>
      </c>
      <c r="B47" s="33">
        <v>46098</v>
      </c>
      <c r="C47" s="4" t="s">
        <v>23</v>
      </c>
      <c r="D47" s="5" t="s">
        <v>61</v>
      </c>
      <c r="E47" s="4" t="s">
        <v>41</v>
      </c>
      <c r="F47" s="4" t="s">
        <v>42</v>
      </c>
      <c r="G47" s="5" t="s">
        <v>84</v>
      </c>
      <c r="H47" s="4">
        <v>3</v>
      </c>
      <c r="I47" s="4">
        <v>299</v>
      </c>
      <c r="J47" s="4">
        <v>897</v>
      </c>
      <c r="K47" s="4" t="s">
        <v>28</v>
      </c>
    </row>
    <row r="48" spans="1:11" ht="15" customHeight="1" x14ac:dyDescent="0.25">
      <c r="A48" s="2" t="s">
        <v>161</v>
      </c>
      <c r="B48" s="32">
        <v>46130</v>
      </c>
      <c r="C48" s="2" t="s">
        <v>31</v>
      </c>
      <c r="D48" s="3" t="s">
        <v>65</v>
      </c>
      <c r="E48" s="2" t="s">
        <v>17</v>
      </c>
      <c r="F48" s="2" t="s">
        <v>48</v>
      </c>
      <c r="G48" s="3" t="s">
        <v>87</v>
      </c>
      <c r="H48" s="2">
        <v>1</v>
      </c>
      <c r="I48" s="2">
        <v>249</v>
      </c>
      <c r="J48" s="2">
        <v>249</v>
      </c>
      <c r="K48" s="2" t="s">
        <v>36</v>
      </c>
    </row>
    <row r="49" spans="1:11" ht="15" customHeight="1" x14ac:dyDescent="0.25">
      <c r="A49" s="4" t="s">
        <v>163</v>
      </c>
      <c r="B49" s="33">
        <v>46161</v>
      </c>
      <c r="C49" s="4" t="s">
        <v>39</v>
      </c>
      <c r="D49" s="5" t="s">
        <v>69</v>
      </c>
      <c r="E49" s="4" t="s">
        <v>25</v>
      </c>
      <c r="F49" s="4" t="s">
        <v>18</v>
      </c>
      <c r="G49" s="5" t="s">
        <v>90</v>
      </c>
      <c r="H49" s="4">
        <v>2</v>
      </c>
      <c r="I49" s="4">
        <v>180</v>
      </c>
      <c r="J49" s="4">
        <v>360</v>
      </c>
      <c r="K49" s="4" t="s">
        <v>20</v>
      </c>
    </row>
    <row r="50" spans="1:11" ht="15" customHeight="1" x14ac:dyDescent="0.25">
      <c r="A50" s="2" t="s">
        <v>165</v>
      </c>
      <c r="B50" s="32">
        <v>46193</v>
      </c>
      <c r="C50" s="2" t="s">
        <v>46</v>
      </c>
      <c r="D50" s="3" t="s">
        <v>73</v>
      </c>
      <c r="E50" s="2" t="s">
        <v>33</v>
      </c>
      <c r="F50" s="2" t="s">
        <v>26</v>
      </c>
      <c r="G50" s="3" t="s">
        <v>93</v>
      </c>
      <c r="H50" s="2">
        <v>1</v>
      </c>
      <c r="I50" s="2">
        <v>549</v>
      </c>
      <c r="J50" s="2">
        <v>549</v>
      </c>
      <c r="K50" s="2" t="s">
        <v>28</v>
      </c>
    </row>
    <row r="51" spans="1:11" ht="15" customHeight="1" x14ac:dyDescent="0.25">
      <c r="A51" s="4" t="s">
        <v>167</v>
      </c>
      <c r="B51" s="33">
        <v>46043</v>
      </c>
      <c r="C51" s="4" t="s">
        <v>52</v>
      </c>
      <c r="D51" s="5" t="s">
        <v>77</v>
      </c>
      <c r="E51" s="4" t="s">
        <v>41</v>
      </c>
      <c r="F51" s="4" t="s">
        <v>34</v>
      </c>
      <c r="G51" s="5" t="s">
        <v>96</v>
      </c>
      <c r="H51" s="4">
        <v>1</v>
      </c>
      <c r="I51" s="4">
        <v>42</v>
      </c>
      <c r="J51" s="4">
        <v>42</v>
      </c>
      <c r="K51" s="4" t="s">
        <v>36</v>
      </c>
    </row>
    <row r="52" spans="1:11" ht="15" customHeight="1" x14ac:dyDescent="0.25">
      <c r="A52" s="2" t="s">
        <v>169</v>
      </c>
      <c r="B52" s="32">
        <v>46075</v>
      </c>
      <c r="C52" s="2" t="s">
        <v>15</v>
      </c>
      <c r="D52" s="3" t="s">
        <v>16</v>
      </c>
      <c r="E52" s="2" t="s">
        <v>17</v>
      </c>
      <c r="F52" s="2" t="s">
        <v>42</v>
      </c>
      <c r="G52" s="3" t="s">
        <v>99</v>
      </c>
      <c r="H52" s="2">
        <v>2</v>
      </c>
      <c r="I52" s="2">
        <v>349</v>
      </c>
      <c r="J52" s="2">
        <v>698</v>
      </c>
      <c r="K52" s="2" t="s">
        <v>20</v>
      </c>
    </row>
    <row r="53" spans="1:11" ht="15" customHeight="1" x14ac:dyDescent="0.25">
      <c r="A53" s="4" t="s">
        <v>171</v>
      </c>
      <c r="B53" s="33">
        <v>46104</v>
      </c>
      <c r="C53" s="4" t="s">
        <v>23</v>
      </c>
      <c r="D53" s="5" t="s">
        <v>24</v>
      </c>
      <c r="E53" s="4" t="s">
        <v>25</v>
      </c>
      <c r="F53" s="4" t="s">
        <v>48</v>
      </c>
      <c r="G53" s="5" t="s">
        <v>102</v>
      </c>
      <c r="H53" s="4">
        <v>1</v>
      </c>
      <c r="I53" s="4">
        <v>1299</v>
      </c>
      <c r="J53" s="4">
        <v>1299</v>
      </c>
      <c r="K53" s="4" t="s">
        <v>28</v>
      </c>
    </row>
    <row r="54" spans="1:11" ht="15" customHeight="1" x14ac:dyDescent="0.25">
      <c r="A54" s="2" t="s">
        <v>173</v>
      </c>
      <c r="B54" s="32">
        <v>46136</v>
      </c>
      <c r="C54" s="2" t="s">
        <v>31</v>
      </c>
      <c r="D54" s="3" t="s">
        <v>32</v>
      </c>
      <c r="E54" s="2" t="s">
        <v>33</v>
      </c>
      <c r="F54" s="2" t="s">
        <v>18</v>
      </c>
      <c r="G54" s="3" t="s">
        <v>105</v>
      </c>
      <c r="H54" s="2">
        <v>1</v>
      </c>
      <c r="I54" s="2">
        <v>65</v>
      </c>
      <c r="J54" s="2">
        <v>65</v>
      </c>
      <c r="K54" s="2" t="s">
        <v>36</v>
      </c>
    </row>
    <row r="55" spans="1:11" ht="15" customHeight="1" x14ac:dyDescent="0.25">
      <c r="A55" s="4" t="s">
        <v>175</v>
      </c>
      <c r="B55" s="33">
        <v>46167</v>
      </c>
      <c r="C55" s="4" t="s">
        <v>39</v>
      </c>
      <c r="D55" s="5" t="s">
        <v>40</v>
      </c>
      <c r="E55" s="4" t="s">
        <v>41</v>
      </c>
      <c r="F55" s="4" t="s">
        <v>26</v>
      </c>
      <c r="G55" s="5" t="s">
        <v>108</v>
      </c>
      <c r="H55" s="4">
        <v>2</v>
      </c>
      <c r="I55" s="4">
        <v>179</v>
      </c>
      <c r="J55" s="4">
        <v>358</v>
      </c>
      <c r="K55" s="4" t="s">
        <v>20</v>
      </c>
    </row>
    <row r="56" spans="1:11" ht="15" customHeight="1" x14ac:dyDescent="0.25">
      <c r="A56" s="2" t="s">
        <v>177</v>
      </c>
      <c r="B56" s="32">
        <v>46199</v>
      </c>
      <c r="C56" s="2" t="s">
        <v>46</v>
      </c>
      <c r="D56" s="3" t="s">
        <v>47</v>
      </c>
      <c r="E56" s="2" t="s">
        <v>17</v>
      </c>
      <c r="F56" s="2" t="s">
        <v>34</v>
      </c>
      <c r="G56" s="3" t="s">
        <v>111</v>
      </c>
      <c r="H56" s="2">
        <v>1</v>
      </c>
      <c r="I56" s="2">
        <v>38</v>
      </c>
      <c r="J56" s="2">
        <v>38</v>
      </c>
      <c r="K56" s="2" t="s">
        <v>28</v>
      </c>
    </row>
    <row r="57" spans="1:11" ht="15" customHeight="1" x14ac:dyDescent="0.25">
      <c r="A57" s="4" t="s">
        <v>179</v>
      </c>
      <c r="B57" s="33">
        <v>46049</v>
      </c>
      <c r="C57" s="4" t="s">
        <v>52</v>
      </c>
      <c r="D57" s="5" t="s">
        <v>53</v>
      </c>
      <c r="E57" s="4" t="s">
        <v>25</v>
      </c>
      <c r="F57" s="4" t="s">
        <v>42</v>
      </c>
      <c r="G57" s="5" t="s">
        <v>114</v>
      </c>
      <c r="H57" s="4">
        <v>3</v>
      </c>
      <c r="I57" s="4">
        <v>1495</v>
      </c>
      <c r="J57" s="4">
        <v>4485</v>
      </c>
      <c r="K57" s="4" t="s">
        <v>36</v>
      </c>
    </row>
    <row r="58" spans="1:11" ht="15" customHeight="1" x14ac:dyDescent="0.25">
      <c r="A58" s="2" t="s">
        <v>181</v>
      </c>
      <c r="B58" s="32">
        <v>46081</v>
      </c>
      <c r="C58" s="2" t="s">
        <v>15</v>
      </c>
      <c r="D58" s="3" t="s">
        <v>57</v>
      </c>
      <c r="E58" s="2" t="s">
        <v>33</v>
      </c>
      <c r="F58" s="2" t="s">
        <v>48</v>
      </c>
      <c r="G58" s="3" t="s">
        <v>117</v>
      </c>
      <c r="H58" s="2">
        <v>1</v>
      </c>
      <c r="I58" s="2">
        <v>1999</v>
      </c>
      <c r="J58" s="2">
        <v>1999</v>
      </c>
      <c r="K58" s="2" t="s">
        <v>20</v>
      </c>
    </row>
    <row r="59" spans="1:11" ht="15" customHeight="1" x14ac:dyDescent="0.25">
      <c r="A59" s="4" t="s">
        <v>183</v>
      </c>
      <c r="B59" s="33">
        <v>46082</v>
      </c>
      <c r="C59" s="4" t="s">
        <v>23</v>
      </c>
      <c r="D59" s="5" t="s">
        <v>61</v>
      </c>
      <c r="E59" s="4" t="s">
        <v>41</v>
      </c>
      <c r="F59" s="4" t="s">
        <v>18</v>
      </c>
      <c r="G59" s="5" t="s">
        <v>120</v>
      </c>
      <c r="H59" s="4">
        <v>2</v>
      </c>
      <c r="I59" s="4">
        <v>110</v>
      </c>
      <c r="J59" s="4">
        <v>220</v>
      </c>
      <c r="K59" s="4" t="s">
        <v>28</v>
      </c>
    </row>
    <row r="60" spans="1:11" ht="15" customHeight="1" x14ac:dyDescent="0.25">
      <c r="A60" s="2" t="s">
        <v>185</v>
      </c>
      <c r="B60" s="32">
        <v>46114</v>
      </c>
      <c r="C60" s="2" t="s">
        <v>31</v>
      </c>
      <c r="D60" s="3" t="s">
        <v>65</v>
      </c>
      <c r="E60" s="2" t="s">
        <v>17</v>
      </c>
      <c r="F60" s="2" t="s">
        <v>26</v>
      </c>
      <c r="G60" s="3" t="s">
        <v>123</v>
      </c>
      <c r="H60" s="2">
        <v>1</v>
      </c>
      <c r="I60" s="2">
        <v>149</v>
      </c>
      <c r="J60" s="2">
        <v>149</v>
      </c>
      <c r="K60" s="2" t="s">
        <v>36</v>
      </c>
    </row>
    <row r="61" spans="1:11" ht="15" customHeight="1" x14ac:dyDescent="0.25">
      <c r="A61" s="4" t="s">
        <v>187</v>
      </c>
      <c r="B61" s="33">
        <v>46145</v>
      </c>
      <c r="C61" s="4" t="s">
        <v>39</v>
      </c>
      <c r="D61" s="5" t="s">
        <v>69</v>
      </c>
      <c r="E61" s="4" t="s">
        <v>25</v>
      </c>
      <c r="F61" s="4" t="s">
        <v>34</v>
      </c>
      <c r="G61" s="5" t="s">
        <v>126</v>
      </c>
      <c r="H61" s="4">
        <v>1</v>
      </c>
      <c r="I61" s="4">
        <v>185</v>
      </c>
      <c r="J61" s="4">
        <v>185</v>
      </c>
      <c r="K61" s="4" t="s">
        <v>20</v>
      </c>
    </row>
    <row r="62" spans="1:11" ht="15" customHeight="1" x14ac:dyDescent="0.25">
      <c r="A62" s="2" t="s">
        <v>189</v>
      </c>
      <c r="B62" s="32">
        <v>46177</v>
      </c>
      <c r="C62" s="2" t="s">
        <v>46</v>
      </c>
      <c r="D62" s="3" t="s">
        <v>73</v>
      </c>
      <c r="E62" s="2" t="s">
        <v>33</v>
      </c>
      <c r="F62" s="2" t="s">
        <v>42</v>
      </c>
      <c r="G62" s="3" t="s">
        <v>129</v>
      </c>
      <c r="H62" s="2">
        <v>2</v>
      </c>
      <c r="I62" s="2">
        <v>149</v>
      </c>
      <c r="J62" s="2">
        <v>298</v>
      </c>
      <c r="K62" s="2" t="s">
        <v>28</v>
      </c>
    </row>
    <row r="63" spans="1:11" ht="15" customHeight="1" x14ac:dyDescent="0.25">
      <c r="A63" s="4" t="s">
        <v>191</v>
      </c>
      <c r="B63" s="33">
        <v>46027</v>
      </c>
      <c r="C63" s="4" t="s">
        <v>52</v>
      </c>
      <c r="D63" s="5" t="s">
        <v>77</v>
      </c>
      <c r="E63" s="4" t="s">
        <v>41</v>
      </c>
      <c r="F63" s="4" t="s">
        <v>48</v>
      </c>
      <c r="G63" s="5" t="s">
        <v>132</v>
      </c>
      <c r="H63" s="4">
        <v>1</v>
      </c>
      <c r="I63" s="4">
        <v>999</v>
      </c>
      <c r="J63" s="4">
        <v>999</v>
      </c>
      <c r="K63" s="4" t="s">
        <v>36</v>
      </c>
    </row>
    <row r="64" spans="1:11" ht="15" customHeight="1" x14ac:dyDescent="0.25">
      <c r="A64" s="2" t="s">
        <v>193</v>
      </c>
      <c r="B64" s="32">
        <v>46059</v>
      </c>
      <c r="C64" s="2" t="s">
        <v>15</v>
      </c>
      <c r="D64" s="3" t="s">
        <v>16</v>
      </c>
      <c r="E64" s="2" t="s">
        <v>17</v>
      </c>
      <c r="F64" s="2" t="s">
        <v>18</v>
      </c>
      <c r="G64" s="3" t="s">
        <v>19</v>
      </c>
      <c r="H64" s="2">
        <v>1</v>
      </c>
      <c r="I64" s="2">
        <v>79</v>
      </c>
      <c r="J64" s="2">
        <v>79</v>
      </c>
      <c r="K64" s="2" t="s">
        <v>20</v>
      </c>
    </row>
    <row r="65" spans="1:11" ht="15" customHeight="1" x14ac:dyDescent="0.25">
      <c r="A65" s="4" t="s">
        <v>195</v>
      </c>
      <c r="B65" s="33">
        <v>46088</v>
      </c>
      <c r="C65" s="4" t="s">
        <v>23</v>
      </c>
      <c r="D65" s="5" t="s">
        <v>24</v>
      </c>
      <c r="E65" s="4" t="s">
        <v>25</v>
      </c>
      <c r="F65" s="4" t="s">
        <v>26</v>
      </c>
      <c r="G65" s="5" t="s">
        <v>27</v>
      </c>
      <c r="H65" s="4">
        <v>2</v>
      </c>
      <c r="I65" s="4">
        <v>129</v>
      </c>
      <c r="J65" s="4">
        <v>258</v>
      </c>
      <c r="K65" s="4" t="s">
        <v>28</v>
      </c>
    </row>
    <row r="66" spans="1:11" ht="15" customHeight="1" x14ac:dyDescent="0.25">
      <c r="A66" s="2" t="s">
        <v>197</v>
      </c>
      <c r="B66" s="32">
        <v>46120</v>
      </c>
      <c r="C66" s="2" t="s">
        <v>31</v>
      </c>
      <c r="D66" s="3" t="s">
        <v>32</v>
      </c>
      <c r="E66" s="2" t="s">
        <v>33</v>
      </c>
      <c r="F66" s="2" t="s">
        <v>34</v>
      </c>
      <c r="G66" s="3" t="s">
        <v>35</v>
      </c>
      <c r="H66" s="2">
        <v>1</v>
      </c>
      <c r="I66" s="2">
        <v>88</v>
      </c>
      <c r="J66" s="2">
        <v>88</v>
      </c>
      <c r="K66" s="2" t="s">
        <v>36</v>
      </c>
    </row>
    <row r="67" spans="1:11" ht="15" customHeight="1" x14ac:dyDescent="0.25">
      <c r="A67" s="4" t="s">
        <v>199</v>
      </c>
      <c r="B67" s="33">
        <v>46151</v>
      </c>
      <c r="C67" s="4" t="s">
        <v>39</v>
      </c>
      <c r="D67" s="5" t="s">
        <v>40</v>
      </c>
      <c r="E67" s="4" t="s">
        <v>41</v>
      </c>
      <c r="F67" s="4" t="s">
        <v>42</v>
      </c>
      <c r="G67" s="5" t="s">
        <v>43</v>
      </c>
      <c r="H67" s="4">
        <v>3</v>
      </c>
      <c r="I67" s="4">
        <v>179</v>
      </c>
      <c r="J67" s="4">
        <v>537</v>
      </c>
      <c r="K67" s="4" t="s">
        <v>20</v>
      </c>
    </row>
    <row r="68" spans="1:11" ht="15" customHeight="1" x14ac:dyDescent="0.25">
      <c r="A68" s="2" t="s">
        <v>201</v>
      </c>
      <c r="B68" s="32">
        <v>46183</v>
      </c>
      <c r="C68" s="2" t="s">
        <v>46</v>
      </c>
      <c r="D68" s="3" t="s">
        <v>47</v>
      </c>
      <c r="E68" s="2" t="s">
        <v>17</v>
      </c>
      <c r="F68" s="2" t="s">
        <v>48</v>
      </c>
      <c r="G68" s="3" t="s">
        <v>49</v>
      </c>
      <c r="H68" s="2">
        <v>1</v>
      </c>
      <c r="I68" s="2">
        <v>349</v>
      </c>
      <c r="J68" s="2">
        <v>349</v>
      </c>
      <c r="K68" s="2" t="s">
        <v>28</v>
      </c>
    </row>
    <row r="69" spans="1:11" ht="15" customHeight="1" x14ac:dyDescent="0.25">
      <c r="A69" s="4" t="s">
        <v>203</v>
      </c>
      <c r="B69" s="33">
        <v>46033</v>
      </c>
      <c r="C69" s="4" t="s">
        <v>52</v>
      </c>
      <c r="D69" s="5" t="s">
        <v>53</v>
      </c>
      <c r="E69" s="4" t="s">
        <v>25</v>
      </c>
      <c r="F69" s="4" t="s">
        <v>18</v>
      </c>
      <c r="G69" s="5" t="s">
        <v>54</v>
      </c>
      <c r="H69" s="4">
        <v>2</v>
      </c>
      <c r="I69" s="4">
        <v>89</v>
      </c>
      <c r="J69" s="4">
        <v>178</v>
      </c>
      <c r="K69" s="4" t="s">
        <v>36</v>
      </c>
    </row>
    <row r="70" spans="1:11" ht="15" customHeight="1" x14ac:dyDescent="0.25">
      <c r="A70" s="2" t="s">
        <v>205</v>
      </c>
      <c r="B70" s="32">
        <v>46065</v>
      </c>
      <c r="C70" s="2" t="s">
        <v>15</v>
      </c>
      <c r="D70" s="3" t="s">
        <v>57</v>
      </c>
      <c r="E70" s="2" t="s">
        <v>33</v>
      </c>
      <c r="F70" s="2" t="s">
        <v>26</v>
      </c>
      <c r="G70" s="3" t="s">
        <v>58</v>
      </c>
      <c r="H70" s="2">
        <v>1</v>
      </c>
      <c r="I70" s="2">
        <v>399</v>
      </c>
      <c r="J70" s="2">
        <v>399</v>
      </c>
      <c r="K70" s="2" t="s">
        <v>20</v>
      </c>
    </row>
    <row r="71" spans="1:11" ht="15" customHeight="1" x14ac:dyDescent="0.25">
      <c r="A71" s="4" t="s">
        <v>207</v>
      </c>
      <c r="B71" s="33">
        <v>46094</v>
      </c>
      <c r="C71" s="4" t="s">
        <v>23</v>
      </c>
      <c r="D71" s="5" t="s">
        <v>61</v>
      </c>
      <c r="E71" s="4" t="s">
        <v>41</v>
      </c>
      <c r="F71" s="4" t="s">
        <v>34</v>
      </c>
      <c r="G71" s="5" t="s">
        <v>62</v>
      </c>
      <c r="H71" s="4">
        <v>1</v>
      </c>
      <c r="I71" s="4">
        <v>24</v>
      </c>
      <c r="J71" s="4">
        <v>24</v>
      </c>
      <c r="K71" s="4" t="s">
        <v>28</v>
      </c>
    </row>
    <row r="72" spans="1:11" ht="15" customHeight="1" x14ac:dyDescent="0.25">
      <c r="A72" s="2" t="s">
        <v>209</v>
      </c>
      <c r="B72" s="32">
        <v>46126</v>
      </c>
      <c r="C72" s="2" t="s">
        <v>31</v>
      </c>
      <c r="D72" s="3" t="s">
        <v>65</v>
      </c>
      <c r="E72" s="2" t="s">
        <v>17</v>
      </c>
      <c r="F72" s="2" t="s">
        <v>42</v>
      </c>
      <c r="G72" s="3" t="s">
        <v>66</v>
      </c>
      <c r="H72" s="2">
        <v>2</v>
      </c>
      <c r="I72" s="2">
        <v>249</v>
      </c>
      <c r="J72" s="2">
        <v>498</v>
      </c>
      <c r="K72" s="2" t="s">
        <v>36</v>
      </c>
    </row>
    <row r="73" spans="1:11" ht="15" customHeight="1" x14ac:dyDescent="0.25">
      <c r="A73" s="4" t="s">
        <v>211</v>
      </c>
      <c r="B73" s="33">
        <v>46157</v>
      </c>
      <c r="C73" s="4" t="s">
        <v>39</v>
      </c>
      <c r="D73" s="5" t="s">
        <v>69</v>
      </c>
      <c r="E73" s="4" t="s">
        <v>25</v>
      </c>
      <c r="F73" s="4" t="s">
        <v>48</v>
      </c>
      <c r="G73" s="5" t="s">
        <v>70</v>
      </c>
      <c r="H73" s="4">
        <v>1</v>
      </c>
      <c r="I73" s="4">
        <v>1099</v>
      </c>
      <c r="J73" s="4">
        <v>1099</v>
      </c>
      <c r="K73" s="4" t="s">
        <v>20</v>
      </c>
    </row>
    <row r="74" spans="1:11" ht="15" customHeight="1" x14ac:dyDescent="0.25">
      <c r="A74" s="2" t="s">
        <v>213</v>
      </c>
      <c r="B74" s="32">
        <v>46189</v>
      </c>
      <c r="C74" s="2" t="s">
        <v>46</v>
      </c>
      <c r="D74" s="3" t="s">
        <v>73</v>
      </c>
      <c r="E74" s="2" t="s">
        <v>33</v>
      </c>
      <c r="F74" s="2" t="s">
        <v>18</v>
      </c>
      <c r="G74" s="3" t="s">
        <v>74</v>
      </c>
      <c r="H74" s="2">
        <v>1</v>
      </c>
      <c r="I74" s="2">
        <v>95</v>
      </c>
      <c r="J74" s="2">
        <v>95</v>
      </c>
      <c r="K74" s="2" t="s">
        <v>28</v>
      </c>
    </row>
    <row r="75" spans="1:11" ht="15" customHeight="1" x14ac:dyDescent="0.25">
      <c r="A75" s="4" t="s">
        <v>215</v>
      </c>
      <c r="B75" s="33">
        <v>46039</v>
      </c>
      <c r="C75" s="4" t="s">
        <v>52</v>
      </c>
      <c r="D75" s="5" t="s">
        <v>77</v>
      </c>
      <c r="E75" s="4" t="s">
        <v>41</v>
      </c>
      <c r="F75" s="4" t="s">
        <v>26</v>
      </c>
      <c r="G75" s="5" t="s">
        <v>78</v>
      </c>
      <c r="H75" s="4">
        <v>2</v>
      </c>
      <c r="I75" s="4">
        <v>549</v>
      </c>
      <c r="J75" s="4">
        <v>1098</v>
      </c>
      <c r="K75" s="4" t="s">
        <v>36</v>
      </c>
    </row>
    <row r="76" spans="1:11" ht="15" customHeight="1" x14ac:dyDescent="0.25">
      <c r="A76" s="2" t="s">
        <v>217</v>
      </c>
      <c r="B76" s="32">
        <v>46071</v>
      </c>
      <c r="C76" s="2" t="s">
        <v>15</v>
      </c>
      <c r="D76" s="3" t="s">
        <v>16</v>
      </c>
      <c r="E76" s="2" t="s">
        <v>17</v>
      </c>
      <c r="F76" s="2" t="s">
        <v>34</v>
      </c>
      <c r="G76" s="3" t="s">
        <v>81</v>
      </c>
      <c r="H76" s="2">
        <v>1</v>
      </c>
      <c r="I76" s="2">
        <v>125</v>
      </c>
      <c r="J76" s="2">
        <v>125</v>
      </c>
      <c r="K76" s="2" t="s">
        <v>20</v>
      </c>
    </row>
    <row r="77" spans="1:11" ht="15" customHeight="1" x14ac:dyDescent="0.25">
      <c r="A77" s="4" t="s">
        <v>219</v>
      </c>
      <c r="B77" s="33">
        <v>46100</v>
      </c>
      <c r="C77" s="4" t="s">
        <v>23</v>
      </c>
      <c r="D77" s="5" t="s">
        <v>24</v>
      </c>
      <c r="E77" s="4" t="s">
        <v>25</v>
      </c>
      <c r="F77" s="4" t="s">
        <v>42</v>
      </c>
      <c r="G77" s="5" t="s">
        <v>84</v>
      </c>
      <c r="H77" s="4">
        <v>3</v>
      </c>
      <c r="I77" s="4">
        <v>299</v>
      </c>
      <c r="J77" s="4">
        <v>897</v>
      </c>
      <c r="K77" s="4" t="s">
        <v>28</v>
      </c>
    </row>
    <row r="78" spans="1:11" ht="15" customHeight="1" x14ac:dyDescent="0.25">
      <c r="A78" s="2" t="s">
        <v>221</v>
      </c>
      <c r="B78" s="32">
        <v>46132</v>
      </c>
      <c r="C78" s="2" t="s">
        <v>31</v>
      </c>
      <c r="D78" s="3" t="s">
        <v>32</v>
      </c>
      <c r="E78" s="2" t="s">
        <v>33</v>
      </c>
      <c r="F78" s="2" t="s">
        <v>48</v>
      </c>
      <c r="G78" s="3" t="s">
        <v>87</v>
      </c>
      <c r="H78" s="2">
        <v>1</v>
      </c>
      <c r="I78" s="2">
        <v>249</v>
      </c>
      <c r="J78" s="2">
        <v>249</v>
      </c>
      <c r="K78" s="2" t="s">
        <v>36</v>
      </c>
    </row>
    <row r="79" spans="1:11" ht="15" customHeight="1" x14ac:dyDescent="0.25">
      <c r="A79" s="4" t="s">
        <v>223</v>
      </c>
      <c r="B79" s="33">
        <v>46163</v>
      </c>
      <c r="C79" s="4" t="s">
        <v>39</v>
      </c>
      <c r="D79" s="5" t="s">
        <v>40</v>
      </c>
      <c r="E79" s="4" t="s">
        <v>41</v>
      </c>
      <c r="F79" s="4" t="s">
        <v>18</v>
      </c>
      <c r="G79" s="5" t="s">
        <v>90</v>
      </c>
      <c r="H79" s="4">
        <v>2</v>
      </c>
      <c r="I79" s="4">
        <v>180</v>
      </c>
      <c r="J79" s="4">
        <v>360</v>
      </c>
      <c r="K79" s="4" t="s">
        <v>20</v>
      </c>
    </row>
    <row r="80" spans="1:11" ht="15" customHeight="1" x14ac:dyDescent="0.25">
      <c r="A80" s="2" t="s">
        <v>225</v>
      </c>
      <c r="B80" s="32">
        <v>46195</v>
      </c>
      <c r="C80" s="2" t="s">
        <v>46</v>
      </c>
      <c r="D80" s="3" t="s">
        <v>47</v>
      </c>
      <c r="E80" s="2" t="s">
        <v>17</v>
      </c>
      <c r="F80" s="2" t="s">
        <v>26</v>
      </c>
      <c r="G80" s="3" t="s">
        <v>93</v>
      </c>
      <c r="H80" s="2">
        <v>1</v>
      </c>
      <c r="I80" s="2">
        <v>549</v>
      </c>
      <c r="J80" s="2">
        <v>549</v>
      </c>
      <c r="K80" s="2" t="s">
        <v>28</v>
      </c>
    </row>
    <row r="81" spans="1:11" ht="15" customHeight="1" x14ac:dyDescent="0.25">
      <c r="A81" s="4" t="s">
        <v>227</v>
      </c>
      <c r="B81" s="33">
        <v>46045</v>
      </c>
      <c r="C81" s="4" t="s">
        <v>52</v>
      </c>
      <c r="D81" s="5" t="s">
        <v>53</v>
      </c>
      <c r="E81" s="4" t="s">
        <v>25</v>
      </c>
      <c r="F81" s="4" t="s">
        <v>34</v>
      </c>
      <c r="G81" s="5" t="s">
        <v>96</v>
      </c>
      <c r="H81" s="4">
        <v>1</v>
      </c>
      <c r="I81" s="4">
        <v>42</v>
      </c>
      <c r="J81" s="4">
        <v>42</v>
      </c>
      <c r="K81" s="4" t="s">
        <v>36</v>
      </c>
    </row>
    <row r="82" spans="1:11" ht="15" customHeight="1" x14ac:dyDescent="0.25">
      <c r="A82" s="2" t="s">
        <v>229</v>
      </c>
      <c r="B82" s="32">
        <v>46077</v>
      </c>
      <c r="C82" s="2" t="s">
        <v>15</v>
      </c>
      <c r="D82" s="3" t="s">
        <v>57</v>
      </c>
      <c r="E82" s="2" t="s">
        <v>33</v>
      </c>
      <c r="F82" s="2" t="s">
        <v>42</v>
      </c>
      <c r="G82" s="3" t="s">
        <v>99</v>
      </c>
      <c r="H82" s="2">
        <v>2</v>
      </c>
      <c r="I82" s="2">
        <v>349</v>
      </c>
      <c r="J82" s="2">
        <v>698</v>
      </c>
      <c r="K82" s="2" t="s">
        <v>20</v>
      </c>
    </row>
    <row r="83" spans="1:11" ht="15" customHeight="1" x14ac:dyDescent="0.25">
      <c r="A83" s="4" t="s">
        <v>231</v>
      </c>
      <c r="B83" s="33">
        <v>46106</v>
      </c>
      <c r="C83" s="4" t="s">
        <v>23</v>
      </c>
      <c r="D83" s="5" t="s">
        <v>61</v>
      </c>
      <c r="E83" s="4" t="s">
        <v>41</v>
      </c>
      <c r="F83" s="4" t="s">
        <v>48</v>
      </c>
      <c r="G83" s="5" t="s">
        <v>102</v>
      </c>
      <c r="H83" s="4">
        <v>1</v>
      </c>
      <c r="I83" s="4">
        <v>1299</v>
      </c>
      <c r="J83" s="4">
        <v>1299</v>
      </c>
      <c r="K83" s="4" t="s">
        <v>28</v>
      </c>
    </row>
    <row r="84" spans="1:11" ht="15" customHeight="1" x14ac:dyDescent="0.25">
      <c r="A84" s="2" t="s">
        <v>233</v>
      </c>
      <c r="B84" s="32">
        <v>46138</v>
      </c>
      <c r="C84" s="2" t="s">
        <v>31</v>
      </c>
      <c r="D84" s="3" t="s">
        <v>65</v>
      </c>
      <c r="E84" s="2" t="s">
        <v>17</v>
      </c>
      <c r="F84" s="2" t="s">
        <v>18</v>
      </c>
      <c r="G84" s="3" t="s">
        <v>105</v>
      </c>
      <c r="H84" s="2">
        <v>1</v>
      </c>
      <c r="I84" s="2">
        <v>65</v>
      </c>
      <c r="J84" s="2">
        <v>65</v>
      </c>
      <c r="K84" s="2" t="s">
        <v>36</v>
      </c>
    </row>
    <row r="85" spans="1:11" ht="15" customHeight="1" x14ac:dyDescent="0.25">
      <c r="A85" s="4" t="s">
        <v>235</v>
      </c>
      <c r="B85" s="33">
        <v>46169</v>
      </c>
      <c r="C85" s="4" t="s">
        <v>39</v>
      </c>
      <c r="D85" s="5" t="s">
        <v>69</v>
      </c>
      <c r="E85" s="4" t="s">
        <v>25</v>
      </c>
      <c r="F85" s="4" t="s">
        <v>26</v>
      </c>
      <c r="G85" s="5" t="s">
        <v>108</v>
      </c>
      <c r="H85" s="4">
        <v>2</v>
      </c>
      <c r="I85" s="4">
        <v>179</v>
      </c>
      <c r="J85" s="4">
        <v>358</v>
      </c>
      <c r="K85" s="4" t="s">
        <v>20</v>
      </c>
    </row>
    <row r="86" spans="1:11" ht="15" customHeight="1" x14ac:dyDescent="0.25">
      <c r="A86" s="2" t="s">
        <v>237</v>
      </c>
      <c r="B86" s="32">
        <v>46201</v>
      </c>
      <c r="C86" s="2" t="s">
        <v>46</v>
      </c>
      <c r="D86" s="3" t="s">
        <v>73</v>
      </c>
      <c r="E86" s="2" t="s">
        <v>33</v>
      </c>
      <c r="F86" s="2" t="s">
        <v>34</v>
      </c>
      <c r="G86" s="3" t="s">
        <v>111</v>
      </c>
      <c r="H86" s="2">
        <v>1</v>
      </c>
      <c r="I86" s="2">
        <v>38</v>
      </c>
      <c r="J86" s="2">
        <v>38</v>
      </c>
      <c r="K86" s="2" t="s">
        <v>28</v>
      </c>
    </row>
    <row r="87" spans="1:11" ht="15" customHeight="1" x14ac:dyDescent="0.25">
      <c r="A87" s="4" t="s">
        <v>239</v>
      </c>
      <c r="B87" s="33">
        <v>46023</v>
      </c>
      <c r="C87" s="4" t="s">
        <v>52</v>
      </c>
      <c r="D87" s="5" t="s">
        <v>77</v>
      </c>
      <c r="E87" s="4" t="s">
        <v>41</v>
      </c>
      <c r="F87" s="4" t="s">
        <v>42</v>
      </c>
      <c r="G87" s="5" t="s">
        <v>114</v>
      </c>
      <c r="H87" s="4">
        <v>3</v>
      </c>
      <c r="I87" s="4">
        <v>1495</v>
      </c>
      <c r="J87" s="4">
        <v>4485</v>
      </c>
      <c r="K87" s="4" t="s">
        <v>36</v>
      </c>
    </row>
    <row r="88" spans="1:11" ht="15" customHeight="1" x14ac:dyDescent="0.25">
      <c r="A88" s="2" t="s">
        <v>241</v>
      </c>
      <c r="B88" s="32">
        <v>46055</v>
      </c>
      <c r="C88" s="2" t="s">
        <v>15</v>
      </c>
      <c r="D88" s="3" t="s">
        <v>16</v>
      </c>
      <c r="E88" s="2" t="s">
        <v>17</v>
      </c>
      <c r="F88" s="2" t="s">
        <v>48</v>
      </c>
      <c r="G88" s="3" t="s">
        <v>117</v>
      </c>
      <c r="H88" s="2">
        <v>1</v>
      </c>
      <c r="I88" s="2">
        <v>1999</v>
      </c>
      <c r="J88" s="2">
        <v>1999</v>
      </c>
      <c r="K88" s="2" t="s">
        <v>20</v>
      </c>
    </row>
    <row r="89" spans="1:11" ht="15" customHeight="1" x14ac:dyDescent="0.25">
      <c r="A89" s="4" t="s">
        <v>242</v>
      </c>
      <c r="B89" s="33">
        <v>46084</v>
      </c>
      <c r="C89" s="4" t="s">
        <v>23</v>
      </c>
      <c r="D89" s="5" t="s">
        <v>24</v>
      </c>
      <c r="E89" s="4" t="s">
        <v>25</v>
      </c>
      <c r="F89" s="4" t="s">
        <v>18</v>
      </c>
      <c r="G89" s="5" t="s">
        <v>120</v>
      </c>
      <c r="H89" s="4">
        <v>2</v>
      </c>
      <c r="I89" s="4">
        <v>110</v>
      </c>
      <c r="J89" s="4">
        <v>220</v>
      </c>
      <c r="K89" s="4" t="s">
        <v>28</v>
      </c>
    </row>
    <row r="90" spans="1:11" ht="15" customHeight="1" x14ac:dyDescent="0.25">
      <c r="A90" s="2" t="s">
        <v>243</v>
      </c>
      <c r="B90" s="32">
        <v>46116</v>
      </c>
      <c r="C90" s="2" t="s">
        <v>31</v>
      </c>
      <c r="D90" s="3" t="s">
        <v>32</v>
      </c>
      <c r="E90" s="2" t="s">
        <v>33</v>
      </c>
      <c r="F90" s="2" t="s">
        <v>26</v>
      </c>
      <c r="G90" s="3" t="s">
        <v>123</v>
      </c>
      <c r="H90" s="2">
        <v>1</v>
      </c>
      <c r="I90" s="2">
        <v>149</v>
      </c>
      <c r="J90" s="2">
        <v>149</v>
      </c>
      <c r="K90" s="2" t="s">
        <v>36</v>
      </c>
    </row>
    <row r="91" spans="1:11" ht="15" customHeight="1" x14ac:dyDescent="0.25">
      <c r="A91" s="4" t="s">
        <v>244</v>
      </c>
      <c r="B91" s="33">
        <v>46147</v>
      </c>
      <c r="C91" s="4" t="s">
        <v>39</v>
      </c>
      <c r="D91" s="5" t="s">
        <v>40</v>
      </c>
      <c r="E91" s="4" t="s">
        <v>41</v>
      </c>
      <c r="F91" s="4" t="s">
        <v>34</v>
      </c>
      <c r="G91" s="5" t="s">
        <v>126</v>
      </c>
      <c r="H91" s="4">
        <v>1</v>
      </c>
      <c r="I91" s="4">
        <v>185</v>
      </c>
      <c r="J91" s="4">
        <v>185</v>
      </c>
      <c r="K91" s="4" t="s">
        <v>20</v>
      </c>
    </row>
    <row r="92" spans="1:11" ht="15" customHeight="1" x14ac:dyDescent="0.25">
      <c r="A92" s="2" t="s">
        <v>245</v>
      </c>
      <c r="B92" s="32">
        <v>46179</v>
      </c>
      <c r="C92" s="2" t="s">
        <v>46</v>
      </c>
      <c r="D92" s="3" t="s">
        <v>47</v>
      </c>
      <c r="E92" s="2" t="s">
        <v>17</v>
      </c>
      <c r="F92" s="2" t="s">
        <v>42</v>
      </c>
      <c r="G92" s="3" t="s">
        <v>129</v>
      </c>
      <c r="H92" s="2">
        <v>2</v>
      </c>
      <c r="I92" s="2">
        <v>149</v>
      </c>
      <c r="J92" s="2">
        <v>298</v>
      </c>
      <c r="K92" s="2" t="s">
        <v>28</v>
      </c>
    </row>
    <row r="93" spans="1:11" ht="15" customHeight="1" x14ac:dyDescent="0.25">
      <c r="A93" s="4" t="s">
        <v>246</v>
      </c>
      <c r="B93" s="33">
        <v>46029</v>
      </c>
      <c r="C93" s="4" t="s">
        <v>52</v>
      </c>
      <c r="D93" s="5" t="s">
        <v>53</v>
      </c>
      <c r="E93" s="4" t="s">
        <v>25</v>
      </c>
      <c r="F93" s="4" t="s">
        <v>48</v>
      </c>
      <c r="G93" s="5" t="s">
        <v>132</v>
      </c>
      <c r="H93" s="4">
        <v>1</v>
      </c>
      <c r="I93" s="4">
        <v>999</v>
      </c>
      <c r="J93" s="4">
        <v>999</v>
      </c>
      <c r="K93" s="4" t="s">
        <v>36</v>
      </c>
    </row>
    <row r="94" spans="1:11" ht="15" customHeight="1" x14ac:dyDescent="0.25">
      <c r="A94" s="2" t="s">
        <v>247</v>
      </c>
      <c r="B94" s="32">
        <v>46061</v>
      </c>
      <c r="C94" s="2" t="s">
        <v>15</v>
      </c>
      <c r="D94" s="3" t="s">
        <v>57</v>
      </c>
      <c r="E94" s="2" t="s">
        <v>33</v>
      </c>
      <c r="F94" s="2" t="s">
        <v>18</v>
      </c>
      <c r="G94" s="3" t="s">
        <v>19</v>
      </c>
      <c r="H94" s="2">
        <v>1</v>
      </c>
      <c r="I94" s="2">
        <v>79</v>
      </c>
      <c r="J94" s="2">
        <v>79</v>
      </c>
      <c r="K94" s="2" t="s">
        <v>20</v>
      </c>
    </row>
    <row r="95" spans="1:11" ht="15" customHeight="1" x14ac:dyDescent="0.25">
      <c r="A95" s="4" t="s">
        <v>248</v>
      </c>
      <c r="B95" s="33">
        <v>46090</v>
      </c>
      <c r="C95" s="4" t="s">
        <v>23</v>
      </c>
      <c r="D95" s="5" t="s">
        <v>61</v>
      </c>
      <c r="E95" s="4" t="s">
        <v>41</v>
      </c>
      <c r="F95" s="4" t="s">
        <v>26</v>
      </c>
      <c r="G95" s="5" t="s">
        <v>27</v>
      </c>
      <c r="H95" s="4">
        <v>2</v>
      </c>
      <c r="I95" s="4">
        <v>129</v>
      </c>
      <c r="J95" s="4">
        <v>258</v>
      </c>
      <c r="K95" s="4" t="s">
        <v>28</v>
      </c>
    </row>
    <row r="96" spans="1:11" ht="15" customHeight="1" x14ac:dyDescent="0.25">
      <c r="A96" s="2" t="s">
        <v>249</v>
      </c>
      <c r="B96" s="32">
        <v>46122</v>
      </c>
      <c r="C96" s="2" t="s">
        <v>31</v>
      </c>
      <c r="D96" s="3" t="s">
        <v>65</v>
      </c>
      <c r="E96" s="2" t="s">
        <v>17</v>
      </c>
      <c r="F96" s="2" t="s">
        <v>34</v>
      </c>
      <c r="G96" s="3" t="s">
        <v>35</v>
      </c>
      <c r="H96" s="2">
        <v>1</v>
      </c>
      <c r="I96" s="2">
        <v>88</v>
      </c>
      <c r="J96" s="2">
        <v>88</v>
      </c>
      <c r="K96" s="2" t="s">
        <v>36</v>
      </c>
    </row>
    <row r="97" spans="1:11" ht="15" customHeight="1" x14ac:dyDescent="0.25">
      <c r="A97" s="4" t="s">
        <v>250</v>
      </c>
      <c r="B97" s="33">
        <v>46153</v>
      </c>
      <c r="C97" s="4" t="s">
        <v>39</v>
      </c>
      <c r="D97" s="5" t="s">
        <v>69</v>
      </c>
      <c r="E97" s="4" t="s">
        <v>25</v>
      </c>
      <c r="F97" s="4" t="s">
        <v>42</v>
      </c>
      <c r="G97" s="5" t="s">
        <v>43</v>
      </c>
      <c r="H97" s="4">
        <v>3</v>
      </c>
      <c r="I97" s="4">
        <v>179</v>
      </c>
      <c r="J97" s="4">
        <v>537</v>
      </c>
      <c r="K97" s="4" t="s">
        <v>20</v>
      </c>
    </row>
    <row r="98" spans="1:11" ht="15" customHeight="1" x14ac:dyDescent="0.25">
      <c r="A98" s="2" t="s">
        <v>251</v>
      </c>
      <c r="B98" s="32">
        <v>46185</v>
      </c>
      <c r="C98" s="2" t="s">
        <v>46</v>
      </c>
      <c r="D98" s="3" t="s">
        <v>73</v>
      </c>
      <c r="E98" s="2" t="s">
        <v>33</v>
      </c>
      <c r="F98" s="2" t="s">
        <v>48</v>
      </c>
      <c r="G98" s="3" t="s">
        <v>49</v>
      </c>
      <c r="H98" s="2">
        <v>1</v>
      </c>
      <c r="I98" s="2">
        <v>349</v>
      </c>
      <c r="J98" s="2">
        <v>349</v>
      </c>
      <c r="K98" s="2" t="s">
        <v>28</v>
      </c>
    </row>
    <row r="99" spans="1:11" ht="15" customHeight="1" x14ac:dyDescent="0.25">
      <c r="A99" s="4" t="s">
        <v>252</v>
      </c>
      <c r="B99" s="33">
        <v>46035</v>
      </c>
      <c r="C99" s="4" t="s">
        <v>52</v>
      </c>
      <c r="D99" s="5" t="s">
        <v>77</v>
      </c>
      <c r="E99" s="4" t="s">
        <v>41</v>
      </c>
      <c r="F99" s="4" t="s">
        <v>18</v>
      </c>
      <c r="G99" s="5" t="s">
        <v>54</v>
      </c>
      <c r="H99" s="4">
        <v>2</v>
      </c>
      <c r="I99" s="4">
        <v>89</v>
      </c>
      <c r="J99" s="4">
        <v>178</v>
      </c>
      <c r="K99" s="4" t="s">
        <v>36</v>
      </c>
    </row>
    <row r="100" spans="1:11" ht="15" customHeight="1" x14ac:dyDescent="0.25">
      <c r="A100" s="2" t="s">
        <v>253</v>
      </c>
      <c r="B100" s="32">
        <v>46067</v>
      </c>
      <c r="C100" s="2" t="s">
        <v>15</v>
      </c>
      <c r="D100" s="3" t="s">
        <v>16</v>
      </c>
      <c r="E100" s="2" t="s">
        <v>17</v>
      </c>
      <c r="F100" s="2" t="s">
        <v>26</v>
      </c>
      <c r="G100" s="3" t="s">
        <v>58</v>
      </c>
      <c r="H100" s="2">
        <v>1</v>
      </c>
      <c r="I100" s="2">
        <v>399</v>
      </c>
      <c r="J100" s="2">
        <v>399</v>
      </c>
      <c r="K100" s="2" t="s">
        <v>20</v>
      </c>
    </row>
    <row r="101" spans="1:11" ht="15" customHeight="1" x14ac:dyDescent="0.25">
      <c r="A101" s="4" t="s">
        <v>254</v>
      </c>
      <c r="B101" s="33">
        <v>46096</v>
      </c>
      <c r="C101" s="4" t="s">
        <v>23</v>
      </c>
      <c r="D101" s="5" t="s">
        <v>24</v>
      </c>
      <c r="E101" s="4" t="s">
        <v>25</v>
      </c>
      <c r="F101" s="4" t="s">
        <v>34</v>
      </c>
      <c r="G101" s="5" t="s">
        <v>62</v>
      </c>
      <c r="H101" s="4">
        <v>1</v>
      </c>
      <c r="I101" s="4">
        <v>24</v>
      </c>
      <c r="J101" s="4">
        <v>24</v>
      </c>
      <c r="K101" s="4" t="s">
        <v>28</v>
      </c>
    </row>
    <row r="102" spans="1:11" ht="15" customHeight="1" x14ac:dyDescent="0.25">
      <c r="A102" s="2" t="s">
        <v>255</v>
      </c>
      <c r="B102" s="32">
        <v>46128</v>
      </c>
      <c r="C102" s="2" t="s">
        <v>31</v>
      </c>
      <c r="D102" s="3" t="s">
        <v>32</v>
      </c>
      <c r="E102" s="2" t="s">
        <v>33</v>
      </c>
      <c r="F102" s="2" t="s">
        <v>42</v>
      </c>
      <c r="G102" s="3" t="s">
        <v>66</v>
      </c>
      <c r="H102" s="2">
        <v>2</v>
      </c>
      <c r="I102" s="2">
        <v>249</v>
      </c>
      <c r="J102" s="2">
        <v>498</v>
      </c>
      <c r="K102" s="2" t="s">
        <v>36</v>
      </c>
    </row>
    <row r="103" spans="1:11" ht="15" customHeight="1" x14ac:dyDescent="0.25">
      <c r="A103" s="4" t="s">
        <v>256</v>
      </c>
      <c r="B103" s="33">
        <v>46159</v>
      </c>
      <c r="C103" s="4" t="s">
        <v>39</v>
      </c>
      <c r="D103" s="5" t="s">
        <v>40</v>
      </c>
      <c r="E103" s="4" t="s">
        <v>41</v>
      </c>
      <c r="F103" s="4" t="s">
        <v>48</v>
      </c>
      <c r="G103" s="5" t="s">
        <v>70</v>
      </c>
      <c r="H103" s="4">
        <v>1</v>
      </c>
      <c r="I103" s="4">
        <v>1099</v>
      </c>
      <c r="J103" s="4">
        <v>1099</v>
      </c>
      <c r="K103" s="4" t="s">
        <v>20</v>
      </c>
    </row>
    <row r="104" spans="1:11" ht="15" customHeight="1" x14ac:dyDescent="0.25">
      <c r="A104" s="2" t="s">
        <v>257</v>
      </c>
      <c r="B104" s="32">
        <v>46191</v>
      </c>
      <c r="C104" s="2" t="s">
        <v>46</v>
      </c>
      <c r="D104" s="3" t="s">
        <v>47</v>
      </c>
      <c r="E104" s="2" t="s">
        <v>17</v>
      </c>
      <c r="F104" s="2" t="s">
        <v>18</v>
      </c>
      <c r="G104" s="3" t="s">
        <v>74</v>
      </c>
      <c r="H104" s="2">
        <v>1</v>
      </c>
      <c r="I104" s="2">
        <v>95</v>
      </c>
      <c r="J104" s="2">
        <v>95</v>
      </c>
      <c r="K104" s="2" t="s">
        <v>28</v>
      </c>
    </row>
    <row r="105" spans="1:11" ht="15" customHeight="1" x14ac:dyDescent="0.25">
      <c r="A105" s="4" t="s">
        <v>258</v>
      </c>
      <c r="B105" s="33">
        <v>46041</v>
      </c>
      <c r="C105" s="4" t="s">
        <v>52</v>
      </c>
      <c r="D105" s="5" t="s">
        <v>53</v>
      </c>
      <c r="E105" s="4" t="s">
        <v>25</v>
      </c>
      <c r="F105" s="4" t="s">
        <v>26</v>
      </c>
      <c r="G105" s="5" t="s">
        <v>78</v>
      </c>
      <c r="H105" s="4">
        <v>2</v>
      </c>
      <c r="I105" s="4">
        <v>549</v>
      </c>
      <c r="J105" s="4">
        <v>1098</v>
      </c>
      <c r="K105" s="4" t="s">
        <v>36</v>
      </c>
    </row>
    <row r="106" spans="1:11" ht="15" customHeight="1" x14ac:dyDescent="0.25">
      <c r="A106" s="2" t="s">
        <v>259</v>
      </c>
      <c r="B106" s="32">
        <v>46073</v>
      </c>
      <c r="C106" s="2" t="s">
        <v>15</v>
      </c>
      <c r="D106" s="3" t="s">
        <v>57</v>
      </c>
      <c r="E106" s="2" t="s">
        <v>33</v>
      </c>
      <c r="F106" s="2" t="s">
        <v>34</v>
      </c>
      <c r="G106" s="3" t="s">
        <v>81</v>
      </c>
      <c r="H106" s="2">
        <v>1</v>
      </c>
      <c r="I106" s="2">
        <v>125</v>
      </c>
      <c r="J106" s="2">
        <v>125</v>
      </c>
      <c r="K106" s="2" t="s">
        <v>20</v>
      </c>
    </row>
    <row r="107" spans="1:11" ht="15" customHeight="1" x14ac:dyDescent="0.25">
      <c r="A107" s="4" t="s">
        <v>260</v>
      </c>
      <c r="B107" s="33">
        <v>46102</v>
      </c>
      <c r="C107" s="4" t="s">
        <v>23</v>
      </c>
      <c r="D107" s="5" t="s">
        <v>61</v>
      </c>
      <c r="E107" s="4" t="s">
        <v>41</v>
      </c>
      <c r="F107" s="4" t="s">
        <v>42</v>
      </c>
      <c r="G107" s="5" t="s">
        <v>84</v>
      </c>
      <c r="H107" s="4">
        <v>3</v>
      </c>
      <c r="I107" s="4">
        <v>299</v>
      </c>
      <c r="J107" s="4">
        <v>897</v>
      </c>
      <c r="K107" s="4" t="s">
        <v>28</v>
      </c>
    </row>
    <row r="108" spans="1:11" ht="15" customHeight="1" x14ac:dyDescent="0.25">
      <c r="A108" s="2" t="s">
        <v>261</v>
      </c>
      <c r="B108" s="32">
        <v>46134</v>
      </c>
      <c r="C108" s="2" t="s">
        <v>31</v>
      </c>
      <c r="D108" s="3" t="s">
        <v>65</v>
      </c>
      <c r="E108" s="2" t="s">
        <v>17</v>
      </c>
      <c r="F108" s="2" t="s">
        <v>48</v>
      </c>
      <c r="G108" s="3" t="s">
        <v>87</v>
      </c>
      <c r="H108" s="2">
        <v>1</v>
      </c>
      <c r="I108" s="2">
        <v>249</v>
      </c>
      <c r="J108" s="2">
        <v>249</v>
      </c>
      <c r="K108" s="2" t="s">
        <v>36</v>
      </c>
    </row>
    <row r="109" spans="1:11" ht="15" customHeight="1" x14ac:dyDescent="0.25">
      <c r="A109" s="4" t="s">
        <v>262</v>
      </c>
      <c r="B109" s="33">
        <v>46165</v>
      </c>
      <c r="C109" s="4" t="s">
        <v>39</v>
      </c>
      <c r="D109" s="5" t="s">
        <v>69</v>
      </c>
      <c r="E109" s="4" t="s">
        <v>25</v>
      </c>
      <c r="F109" s="4" t="s">
        <v>18</v>
      </c>
      <c r="G109" s="5" t="s">
        <v>90</v>
      </c>
      <c r="H109" s="4">
        <v>2</v>
      </c>
      <c r="I109" s="4">
        <v>180</v>
      </c>
      <c r="J109" s="4">
        <v>360</v>
      </c>
      <c r="K109" s="4" t="s">
        <v>20</v>
      </c>
    </row>
    <row r="110" spans="1:11" ht="15" customHeight="1" x14ac:dyDescent="0.25">
      <c r="A110" s="2" t="s">
        <v>263</v>
      </c>
      <c r="B110" s="32">
        <v>46197</v>
      </c>
      <c r="C110" s="2" t="s">
        <v>46</v>
      </c>
      <c r="D110" s="3" t="s">
        <v>73</v>
      </c>
      <c r="E110" s="2" t="s">
        <v>33</v>
      </c>
      <c r="F110" s="2" t="s">
        <v>26</v>
      </c>
      <c r="G110" s="3" t="s">
        <v>93</v>
      </c>
      <c r="H110" s="2">
        <v>1</v>
      </c>
      <c r="I110" s="2">
        <v>549</v>
      </c>
      <c r="J110" s="2">
        <v>549</v>
      </c>
      <c r="K110" s="2" t="s">
        <v>28</v>
      </c>
    </row>
    <row r="111" spans="1:11" ht="15" customHeight="1" x14ac:dyDescent="0.25">
      <c r="A111" s="4" t="s">
        <v>264</v>
      </c>
      <c r="B111" s="33">
        <v>46047</v>
      </c>
      <c r="C111" s="4" t="s">
        <v>52</v>
      </c>
      <c r="D111" s="5" t="s">
        <v>77</v>
      </c>
      <c r="E111" s="4" t="s">
        <v>41</v>
      </c>
      <c r="F111" s="4" t="s">
        <v>34</v>
      </c>
      <c r="G111" s="5" t="s">
        <v>96</v>
      </c>
      <c r="H111" s="4">
        <v>1</v>
      </c>
      <c r="I111" s="4">
        <v>42</v>
      </c>
      <c r="J111" s="4">
        <v>42</v>
      </c>
      <c r="K111" s="4" t="s">
        <v>36</v>
      </c>
    </row>
    <row r="112" spans="1:11" ht="15" customHeight="1" x14ac:dyDescent="0.25">
      <c r="A112" s="2" t="s">
        <v>265</v>
      </c>
      <c r="B112" s="32">
        <v>46079</v>
      </c>
      <c r="C112" s="2" t="s">
        <v>15</v>
      </c>
      <c r="D112" s="3" t="s">
        <v>16</v>
      </c>
      <c r="E112" s="2" t="s">
        <v>17</v>
      </c>
      <c r="F112" s="2" t="s">
        <v>42</v>
      </c>
      <c r="G112" s="3" t="s">
        <v>99</v>
      </c>
      <c r="H112" s="2">
        <v>2</v>
      </c>
      <c r="I112" s="2">
        <v>349</v>
      </c>
      <c r="J112" s="2">
        <v>698</v>
      </c>
      <c r="K112" s="2" t="s">
        <v>20</v>
      </c>
    </row>
    <row r="113" spans="1:11" ht="15" customHeight="1" x14ac:dyDescent="0.25">
      <c r="A113" s="4" t="s">
        <v>266</v>
      </c>
      <c r="B113" s="33">
        <v>46108</v>
      </c>
      <c r="C113" s="4" t="s">
        <v>23</v>
      </c>
      <c r="D113" s="5" t="s">
        <v>24</v>
      </c>
      <c r="E113" s="4" t="s">
        <v>25</v>
      </c>
      <c r="F113" s="4" t="s">
        <v>48</v>
      </c>
      <c r="G113" s="5" t="s">
        <v>102</v>
      </c>
      <c r="H113" s="4">
        <v>1</v>
      </c>
      <c r="I113" s="4">
        <v>1299</v>
      </c>
      <c r="J113" s="4">
        <v>1299</v>
      </c>
      <c r="K113" s="4" t="s">
        <v>28</v>
      </c>
    </row>
    <row r="114" spans="1:11" ht="15" customHeight="1" x14ac:dyDescent="0.25">
      <c r="A114" s="2" t="s">
        <v>267</v>
      </c>
      <c r="B114" s="32">
        <v>46140</v>
      </c>
      <c r="C114" s="2" t="s">
        <v>31</v>
      </c>
      <c r="D114" s="3" t="s">
        <v>32</v>
      </c>
      <c r="E114" s="2" t="s">
        <v>33</v>
      </c>
      <c r="F114" s="2" t="s">
        <v>18</v>
      </c>
      <c r="G114" s="3" t="s">
        <v>105</v>
      </c>
      <c r="H114" s="2">
        <v>1</v>
      </c>
      <c r="I114" s="2">
        <v>65</v>
      </c>
      <c r="J114" s="2">
        <v>65</v>
      </c>
      <c r="K114" s="2" t="s">
        <v>36</v>
      </c>
    </row>
    <row r="115" spans="1:11" ht="15" customHeight="1" x14ac:dyDescent="0.25">
      <c r="A115" s="4" t="s">
        <v>268</v>
      </c>
      <c r="B115" s="33">
        <v>46143</v>
      </c>
      <c r="C115" s="4" t="s">
        <v>39</v>
      </c>
      <c r="D115" s="5" t="s">
        <v>40</v>
      </c>
      <c r="E115" s="4" t="s">
        <v>41</v>
      </c>
      <c r="F115" s="4" t="s">
        <v>26</v>
      </c>
      <c r="G115" s="5" t="s">
        <v>108</v>
      </c>
      <c r="H115" s="4">
        <v>2</v>
      </c>
      <c r="I115" s="4">
        <v>179</v>
      </c>
      <c r="J115" s="4">
        <v>358</v>
      </c>
      <c r="K115" s="4" t="s">
        <v>20</v>
      </c>
    </row>
    <row r="116" spans="1:11" ht="15" customHeight="1" x14ac:dyDescent="0.25">
      <c r="A116" s="2" t="s">
        <v>269</v>
      </c>
      <c r="B116" s="32">
        <v>46175</v>
      </c>
      <c r="C116" s="2" t="s">
        <v>46</v>
      </c>
      <c r="D116" s="3" t="s">
        <v>47</v>
      </c>
      <c r="E116" s="2" t="s">
        <v>17</v>
      </c>
      <c r="F116" s="2" t="s">
        <v>34</v>
      </c>
      <c r="G116" s="3" t="s">
        <v>111</v>
      </c>
      <c r="H116" s="2">
        <v>1</v>
      </c>
      <c r="I116" s="2">
        <v>38</v>
      </c>
      <c r="J116" s="2">
        <v>38</v>
      </c>
      <c r="K116" s="2" t="s">
        <v>28</v>
      </c>
    </row>
    <row r="117" spans="1:11" ht="15" customHeight="1" x14ac:dyDescent="0.25">
      <c r="A117" s="4" t="s">
        <v>270</v>
      </c>
      <c r="B117" s="33">
        <v>46025</v>
      </c>
      <c r="C117" s="4" t="s">
        <v>52</v>
      </c>
      <c r="D117" s="5" t="s">
        <v>53</v>
      </c>
      <c r="E117" s="4" t="s">
        <v>25</v>
      </c>
      <c r="F117" s="4" t="s">
        <v>42</v>
      </c>
      <c r="G117" s="5" t="s">
        <v>114</v>
      </c>
      <c r="H117" s="4">
        <v>3</v>
      </c>
      <c r="I117" s="4">
        <v>1495</v>
      </c>
      <c r="J117" s="4">
        <v>4485</v>
      </c>
      <c r="K117" s="4" t="s">
        <v>36</v>
      </c>
    </row>
    <row r="118" spans="1:11" ht="15" customHeight="1" x14ac:dyDescent="0.25">
      <c r="A118" s="2" t="s">
        <v>271</v>
      </c>
      <c r="B118" s="32">
        <v>46057</v>
      </c>
      <c r="C118" s="2" t="s">
        <v>15</v>
      </c>
      <c r="D118" s="3" t="s">
        <v>57</v>
      </c>
      <c r="E118" s="2" t="s">
        <v>33</v>
      </c>
      <c r="F118" s="2" t="s">
        <v>48</v>
      </c>
      <c r="G118" s="3" t="s">
        <v>117</v>
      </c>
      <c r="H118" s="2">
        <v>1</v>
      </c>
      <c r="I118" s="2">
        <v>1999</v>
      </c>
      <c r="J118" s="2">
        <v>1999</v>
      </c>
      <c r="K118" s="2" t="s">
        <v>20</v>
      </c>
    </row>
    <row r="119" spans="1:11" ht="15" customHeight="1" x14ac:dyDescent="0.25">
      <c r="A119" s="4" t="s">
        <v>272</v>
      </c>
      <c r="B119" s="33">
        <v>46086</v>
      </c>
      <c r="C119" s="4" t="s">
        <v>23</v>
      </c>
      <c r="D119" s="5" t="s">
        <v>61</v>
      </c>
      <c r="E119" s="4" t="s">
        <v>41</v>
      </c>
      <c r="F119" s="4" t="s">
        <v>18</v>
      </c>
      <c r="G119" s="5" t="s">
        <v>120</v>
      </c>
      <c r="H119" s="4">
        <v>2</v>
      </c>
      <c r="I119" s="4">
        <v>110</v>
      </c>
      <c r="J119" s="4">
        <v>220</v>
      </c>
      <c r="K119" s="4" t="s">
        <v>28</v>
      </c>
    </row>
    <row r="120" spans="1:11" ht="15" customHeight="1" x14ac:dyDescent="0.25">
      <c r="A120" s="2" t="s">
        <v>273</v>
      </c>
      <c r="B120" s="32">
        <v>46118</v>
      </c>
      <c r="C120" s="2" t="s">
        <v>31</v>
      </c>
      <c r="D120" s="3" t="s">
        <v>65</v>
      </c>
      <c r="E120" s="2" t="s">
        <v>17</v>
      </c>
      <c r="F120" s="2" t="s">
        <v>26</v>
      </c>
      <c r="G120" s="3" t="s">
        <v>123</v>
      </c>
      <c r="H120" s="2">
        <v>1</v>
      </c>
      <c r="I120" s="2">
        <v>149</v>
      </c>
      <c r="J120" s="2">
        <v>149</v>
      </c>
      <c r="K120" s="2" t="s">
        <v>36</v>
      </c>
    </row>
    <row r="121" spans="1:11" ht="15" customHeight="1" x14ac:dyDescent="0.25">
      <c r="A121" s="4" t="s">
        <v>274</v>
      </c>
      <c r="B121" s="33">
        <v>46149</v>
      </c>
      <c r="C121" s="4" t="s">
        <v>39</v>
      </c>
      <c r="D121" s="5" t="s">
        <v>69</v>
      </c>
      <c r="E121" s="4" t="s">
        <v>25</v>
      </c>
      <c r="F121" s="4" t="s">
        <v>34</v>
      </c>
      <c r="G121" s="5" t="s">
        <v>126</v>
      </c>
      <c r="H121" s="4">
        <v>1</v>
      </c>
      <c r="I121" s="4">
        <v>185</v>
      </c>
      <c r="J121" s="4">
        <v>185</v>
      </c>
      <c r="K121" s="4" t="s">
        <v>20</v>
      </c>
    </row>
    <row r="122" spans="1:11" ht="15" customHeight="1" x14ac:dyDescent="0.25">
      <c r="A122" s="2" t="s">
        <v>275</v>
      </c>
      <c r="B122" s="32">
        <v>46181</v>
      </c>
      <c r="C122" s="2" t="s">
        <v>46</v>
      </c>
      <c r="D122" s="3" t="s">
        <v>73</v>
      </c>
      <c r="E122" s="2" t="s">
        <v>33</v>
      </c>
      <c r="F122" s="2" t="s">
        <v>42</v>
      </c>
      <c r="G122" s="3" t="s">
        <v>129</v>
      </c>
      <c r="H122" s="2">
        <v>2</v>
      </c>
      <c r="I122" s="2">
        <v>149</v>
      </c>
      <c r="J122" s="2">
        <v>298</v>
      </c>
      <c r="K122" s="2" t="s">
        <v>28</v>
      </c>
    </row>
    <row r="123" spans="1:11" ht="15" customHeight="1" x14ac:dyDescent="0.25">
      <c r="A123" s="4" t="s">
        <v>276</v>
      </c>
      <c r="B123" s="33">
        <v>46031</v>
      </c>
      <c r="C123" s="4" t="s">
        <v>52</v>
      </c>
      <c r="D123" s="5" t="s">
        <v>77</v>
      </c>
      <c r="E123" s="4" t="s">
        <v>41</v>
      </c>
      <c r="F123" s="4" t="s">
        <v>48</v>
      </c>
      <c r="G123" s="5" t="s">
        <v>132</v>
      </c>
      <c r="H123" s="4">
        <v>1</v>
      </c>
      <c r="I123" s="4">
        <v>999</v>
      </c>
      <c r="J123" s="4">
        <v>999</v>
      </c>
      <c r="K123" s="4" t="s">
        <v>36</v>
      </c>
    </row>
    <row r="124" spans="1:11" ht="15" customHeight="1" x14ac:dyDescent="0.25">
      <c r="A124" s="2" t="s">
        <v>277</v>
      </c>
      <c r="B124" s="32">
        <v>46063</v>
      </c>
      <c r="C124" s="2" t="s">
        <v>15</v>
      </c>
      <c r="D124" s="3" t="s">
        <v>16</v>
      </c>
      <c r="E124" s="2" t="s">
        <v>17</v>
      </c>
      <c r="F124" s="2" t="s">
        <v>18</v>
      </c>
      <c r="G124" s="3" t="s">
        <v>19</v>
      </c>
      <c r="H124" s="2">
        <v>1</v>
      </c>
      <c r="I124" s="2">
        <v>79</v>
      </c>
      <c r="J124" s="2">
        <v>79</v>
      </c>
      <c r="K124" s="2" t="s">
        <v>20</v>
      </c>
    </row>
    <row r="125" spans="1:11" ht="15" customHeight="1" x14ac:dyDescent="0.25">
      <c r="A125" s="4" t="s">
        <v>278</v>
      </c>
      <c r="B125" s="33">
        <v>46092</v>
      </c>
      <c r="C125" s="4" t="s">
        <v>23</v>
      </c>
      <c r="D125" s="5" t="s">
        <v>24</v>
      </c>
      <c r="E125" s="4" t="s">
        <v>25</v>
      </c>
      <c r="F125" s="4" t="s">
        <v>26</v>
      </c>
      <c r="G125" s="5" t="s">
        <v>27</v>
      </c>
      <c r="H125" s="4">
        <v>2</v>
      </c>
      <c r="I125" s="4">
        <v>129</v>
      </c>
      <c r="J125" s="4">
        <v>258</v>
      </c>
      <c r="K125" s="4" t="s">
        <v>28</v>
      </c>
    </row>
    <row r="126" spans="1:11" ht="15" customHeight="1" x14ac:dyDescent="0.25">
      <c r="A126" s="2" t="s">
        <v>279</v>
      </c>
      <c r="B126" s="32">
        <v>46124</v>
      </c>
      <c r="C126" s="2" t="s">
        <v>31</v>
      </c>
      <c r="D126" s="3" t="s">
        <v>32</v>
      </c>
      <c r="E126" s="2" t="s">
        <v>33</v>
      </c>
      <c r="F126" s="2" t="s">
        <v>34</v>
      </c>
      <c r="G126" s="3" t="s">
        <v>35</v>
      </c>
      <c r="H126" s="2">
        <v>1</v>
      </c>
      <c r="I126" s="2">
        <v>88</v>
      </c>
      <c r="J126" s="2">
        <v>88</v>
      </c>
      <c r="K126" s="2" t="s">
        <v>36</v>
      </c>
    </row>
    <row r="127" spans="1:11" ht="15" customHeight="1" x14ac:dyDescent="0.25">
      <c r="A127" s="4" t="s">
        <v>280</v>
      </c>
      <c r="B127" s="33">
        <v>46155</v>
      </c>
      <c r="C127" s="4" t="s">
        <v>39</v>
      </c>
      <c r="D127" s="5" t="s">
        <v>40</v>
      </c>
      <c r="E127" s="4" t="s">
        <v>41</v>
      </c>
      <c r="F127" s="4" t="s">
        <v>42</v>
      </c>
      <c r="G127" s="5" t="s">
        <v>43</v>
      </c>
      <c r="H127" s="4">
        <v>3</v>
      </c>
      <c r="I127" s="4">
        <v>179</v>
      </c>
      <c r="J127" s="4">
        <v>537</v>
      </c>
      <c r="K127" s="4" t="s">
        <v>20</v>
      </c>
    </row>
    <row r="128" spans="1:11" ht="15" customHeight="1" x14ac:dyDescent="0.25">
      <c r="A128" s="2" t="s">
        <v>281</v>
      </c>
      <c r="B128" s="32">
        <v>46187</v>
      </c>
      <c r="C128" s="2" t="s">
        <v>46</v>
      </c>
      <c r="D128" s="3" t="s">
        <v>47</v>
      </c>
      <c r="E128" s="2" t="s">
        <v>17</v>
      </c>
      <c r="F128" s="2" t="s">
        <v>48</v>
      </c>
      <c r="G128" s="3" t="s">
        <v>49</v>
      </c>
      <c r="H128" s="2">
        <v>1</v>
      </c>
      <c r="I128" s="2">
        <v>349</v>
      </c>
      <c r="J128" s="2">
        <v>349</v>
      </c>
      <c r="K128" s="2" t="s">
        <v>28</v>
      </c>
    </row>
    <row r="129" spans="1:11" ht="15" customHeight="1" x14ac:dyDescent="0.25">
      <c r="A129" s="4" t="s">
        <v>282</v>
      </c>
      <c r="B129" s="33">
        <v>46037</v>
      </c>
      <c r="C129" s="4" t="s">
        <v>52</v>
      </c>
      <c r="D129" s="5" t="s">
        <v>53</v>
      </c>
      <c r="E129" s="4" t="s">
        <v>25</v>
      </c>
      <c r="F129" s="4" t="s">
        <v>18</v>
      </c>
      <c r="G129" s="5" t="s">
        <v>54</v>
      </c>
      <c r="H129" s="4">
        <v>2</v>
      </c>
      <c r="I129" s="4">
        <v>89</v>
      </c>
      <c r="J129" s="4">
        <v>178</v>
      </c>
      <c r="K129" s="4" t="s">
        <v>36</v>
      </c>
    </row>
    <row r="130" spans="1:11" ht="15" customHeight="1" x14ac:dyDescent="0.25">
      <c r="A130" s="2" t="s">
        <v>283</v>
      </c>
      <c r="B130" s="32">
        <v>46069</v>
      </c>
      <c r="C130" s="2" t="s">
        <v>15</v>
      </c>
      <c r="D130" s="3" t="s">
        <v>57</v>
      </c>
      <c r="E130" s="2" t="s">
        <v>33</v>
      </c>
      <c r="F130" s="2" t="s">
        <v>26</v>
      </c>
      <c r="G130" s="3" t="s">
        <v>58</v>
      </c>
      <c r="H130" s="2">
        <v>1</v>
      </c>
      <c r="I130" s="2">
        <v>399</v>
      </c>
      <c r="J130" s="2">
        <v>399</v>
      </c>
      <c r="K130" s="2" t="s">
        <v>20</v>
      </c>
    </row>
    <row r="131" spans="1:11" ht="15" customHeight="1" x14ac:dyDescent="0.25">
      <c r="A131" s="4" t="s">
        <v>284</v>
      </c>
      <c r="B131" s="33">
        <v>46098</v>
      </c>
      <c r="C131" s="4" t="s">
        <v>23</v>
      </c>
      <c r="D131" s="5" t="s">
        <v>61</v>
      </c>
      <c r="E131" s="4" t="s">
        <v>41</v>
      </c>
      <c r="F131" s="4" t="s">
        <v>34</v>
      </c>
      <c r="G131" s="5" t="s">
        <v>62</v>
      </c>
      <c r="H131" s="4">
        <v>1</v>
      </c>
      <c r="I131" s="4">
        <v>24</v>
      </c>
      <c r="J131" s="4">
        <v>24</v>
      </c>
      <c r="K131" s="4" t="s">
        <v>28</v>
      </c>
    </row>
    <row r="132" spans="1:11" ht="15" customHeight="1" x14ac:dyDescent="0.25">
      <c r="A132" s="2" t="s">
        <v>285</v>
      </c>
      <c r="B132" s="32">
        <v>46130</v>
      </c>
      <c r="C132" s="2" t="s">
        <v>31</v>
      </c>
      <c r="D132" s="3" t="s">
        <v>65</v>
      </c>
      <c r="E132" s="2" t="s">
        <v>17</v>
      </c>
      <c r="F132" s="2" t="s">
        <v>42</v>
      </c>
      <c r="G132" s="3" t="s">
        <v>66</v>
      </c>
      <c r="H132" s="2">
        <v>2</v>
      </c>
      <c r="I132" s="2">
        <v>249</v>
      </c>
      <c r="J132" s="2">
        <v>498</v>
      </c>
      <c r="K132" s="2" t="s">
        <v>36</v>
      </c>
    </row>
    <row r="133" spans="1:11" ht="15" customHeight="1" x14ac:dyDescent="0.25">
      <c r="A133" s="4" t="s">
        <v>286</v>
      </c>
      <c r="B133" s="33">
        <v>46161</v>
      </c>
      <c r="C133" s="4" t="s">
        <v>39</v>
      </c>
      <c r="D133" s="5" t="s">
        <v>69</v>
      </c>
      <c r="E133" s="4" t="s">
        <v>25</v>
      </c>
      <c r="F133" s="4" t="s">
        <v>48</v>
      </c>
      <c r="G133" s="5" t="s">
        <v>70</v>
      </c>
      <c r="H133" s="4">
        <v>1</v>
      </c>
      <c r="I133" s="4">
        <v>1099</v>
      </c>
      <c r="J133" s="4">
        <v>1099</v>
      </c>
      <c r="K133" s="4" t="s">
        <v>20</v>
      </c>
    </row>
    <row r="134" spans="1:11" ht="15" customHeight="1" x14ac:dyDescent="0.25">
      <c r="A134" s="2" t="s">
        <v>287</v>
      </c>
      <c r="B134" s="32">
        <v>46193</v>
      </c>
      <c r="C134" s="2" t="s">
        <v>46</v>
      </c>
      <c r="D134" s="3" t="s">
        <v>73</v>
      </c>
      <c r="E134" s="2" t="s">
        <v>33</v>
      </c>
      <c r="F134" s="2" t="s">
        <v>18</v>
      </c>
      <c r="G134" s="3" t="s">
        <v>74</v>
      </c>
      <c r="H134" s="2">
        <v>1</v>
      </c>
      <c r="I134" s="2">
        <v>95</v>
      </c>
      <c r="J134" s="2">
        <v>95</v>
      </c>
      <c r="K134" s="2" t="s">
        <v>28</v>
      </c>
    </row>
    <row r="135" spans="1:11" ht="15" customHeight="1" x14ac:dyDescent="0.25">
      <c r="A135" s="4" t="s">
        <v>288</v>
      </c>
      <c r="B135" s="33">
        <v>46043</v>
      </c>
      <c r="C135" s="4" t="s">
        <v>52</v>
      </c>
      <c r="D135" s="5" t="s">
        <v>77</v>
      </c>
      <c r="E135" s="4" t="s">
        <v>41</v>
      </c>
      <c r="F135" s="4" t="s">
        <v>26</v>
      </c>
      <c r="G135" s="5" t="s">
        <v>78</v>
      </c>
      <c r="H135" s="4">
        <v>2</v>
      </c>
      <c r="I135" s="4">
        <v>549</v>
      </c>
      <c r="J135" s="4">
        <v>1098</v>
      </c>
      <c r="K135" s="4" t="s">
        <v>36</v>
      </c>
    </row>
    <row r="136" spans="1:11" ht="15" customHeight="1" x14ac:dyDescent="0.25">
      <c r="A136" s="2" t="s">
        <v>289</v>
      </c>
      <c r="B136" s="32">
        <v>46075</v>
      </c>
      <c r="C136" s="2" t="s">
        <v>15</v>
      </c>
      <c r="D136" s="3" t="s">
        <v>16</v>
      </c>
      <c r="E136" s="2" t="s">
        <v>17</v>
      </c>
      <c r="F136" s="2" t="s">
        <v>34</v>
      </c>
      <c r="G136" s="3" t="s">
        <v>81</v>
      </c>
      <c r="H136" s="2">
        <v>1</v>
      </c>
      <c r="I136" s="2">
        <v>125</v>
      </c>
      <c r="J136" s="2">
        <v>125</v>
      </c>
      <c r="K136" s="2" t="s">
        <v>20</v>
      </c>
    </row>
    <row r="137" spans="1:11" ht="15" customHeight="1" x14ac:dyDescent="0.25">
      <c r="A137" s="4" t="s">
        <v>290</v>
      </c>
      <c r="B137" s="33">
        <v>46104</v>
      </c>
      <c r="C137" s="4" t="s">
        <v>23</v>
      </c>
      <c r="D137" s="5" t="s">
        <v>24</v>
      </c>
      <c r="E137" s="4" t="s">
        <v>25</v>
      </c>
      <c r="F137" s="4" t="s">
        <v>42</v>
      </c>
      <c r="G137" s="5" t="s">
        <v>84</v>
      </c>
      <c r="H137" s="4">
        <v>3</v>
      </c>
      <c r="I137" s="4">
        <v>299</v>
      </c>
      <c r="J137" s="4">
        <v>897</v>
      </c>
      <c r="K137" s="4" t="s">
        <v>28</v>
      </c>
    </row>
    <row r="138" spans="1:11" ht="15" customHeight="1" x14ac:dyDescent="0.25">
      <c r="A138" s="2" t="s">
        <v>291</v>
      </c>
      <c r="B138" s="32">
        <v>46136</v>
      </c>
      <c r="C138" s="2" t="s">
        <v>31</v>
      </c>
      <c r="D138" s="3" t="s">
        <v>32</v>
      </c>
      <c r="E138" s="2" t="s">
        <v>33</v>
      </c>
      <c r="F138" s="2" t="s">
        <v>48</v>
      </c>
      <c r="G138" s="3" t="s">
        <v>87</v>
      </c>
      <c r="H138" s="2">
        <v>1</v>
      </c>
      <c r="I138" s="2">
        <v>249</v>
      </c>
      <c r="J138" s="2">
        <v>249</v>
      </c>
      <c r="K138" s="2" t="s">
        <v>36</v>
      </c>
    </row>
    <row r="139" spans="1:11" ht="15" customHeight="1" x14ac:dyDescent="0.25">
      <c r="A139" s="4" t="s">
        <v>292</v>
      </c>
      <c r="B139" s="33">
        <v>46167</v>
      </c>
      <c r="C139" s="4" t="s">
        <v>39</v>
      </c>
      <c r="D139" s="5" t="s">
        <v>40</v>
      </c>
      <c r="E139" s="4" t="s">
        <v>41</v>
      </c>
      <c r="F139" s="4" t="s">
        <v>18</v>
      </c>
      <c r="G139" s="5" t="s">
        <v>90</v>
      </c>
      <c r="H139" s="4">
        <v>2</v>
      </c>
      <c r="I139" s="4">
        <v>180</v>
      </c>
      <c r="J139" s="4">
        <v>360</v>
      </c>
      <c r="K139" s="4" t="s">
        <v>20</v>
      </c>
    </row>
    <row r="140" spans="1:11" ht="15" customHeight="1" x14ac:dyDescent="0.25">
      <c r="A140" s="2" t="s">
        <v>293</v>
      </c>
      <c r="B140" s="32">
        <v>46199</v>
      </c>
      <c r="C140" s="2" t="s">
        <v>46</v>
      </c>
      <c r="D140" s="3" t="s">
        <v>47</v>
      </c>
      <c r="E140" s="2" t="s">
        <v>17</v>
      </c>
      <c r="F140" s="2" t="s">
        <v>26</v>
      </c>
      <c r="G140" s="3" t="s">
        <v>93</v>
      </c>
      <c r="H140" s="2">
        <v>1</v>
      </c>
      <c r="I140" s="2">
        <v>549</v>
      </c>
      <c r="J140" s="2">
        <v>549</v>
      </c>
      <c r="K140" s="2" t="s">
        <v>28</v>
      </c>
    </row>
    <row r="141" spans="1:11" ht="15" customHeight="1" x14ac:dyDescent="0.25">
      <c r="A141" s="4" t="s">
        <v>294</v>
      </c>
      <c r="B141" s="33">
        <v>46049</v>
      </c>
      <c r="C141" s="4" t="s">
        <v>52</v>
      </c>
      <c r="D141" s="5" t="s">
        <v>53</v>
      </c>
      <c r="E141" s="4" t="s">
        <v>25</v>
      </c>
      <c r="F141" s="4" t="s">
        <v>34</v>
      </c>
      <c r="G141" s="5" t="s">
        <v>96</v>
      </c>
      <c r="H141" s="4">
        <v>1</v>
      </c>
      <c r="I141" s="4">
        <v>42</v>
      </c>
      <c r="J141" s="4">
        <v>42</v>
      </c>
      <c r="K141" s="4" t="s">
        <v>36</v>
      </c>
    </row>
    <row r="142" spans="1:11" ht="15" customHeight="1" x14ac:dyDescent="0.25">
      <c r="A142" s="2" t="s">
        <v>295</v>
      </c>
      <c r="B142" s="32">
        <v>46081</v>
      </c>
      <c r="C142" s="2" t="s">
        <v>15</v>
      </c>
      <c r="D142" s="3" t="s">
        <v>57</v>
      </c>
      <c r="E142" s="2" t="s">
        <v>33</v>
      </c>
      <c r="F142" s="2" t="s">
        <v>42</v>
      </c>
      <c r="G142" s="3" t="s">
        <v>99</v>
      </c>
      <c r="H142" s="2">
        <v>2</v>
      </c>
      <c r="I142" s="2">
        <v>349</v>
      </c>
      <c r="J142" s="2">
        <v>698</v>
      </c>
      <c r="K142" s="2" t="s">
        <v>20</v>
      </c>
    </row>
    <row r="143" spans="1:11" ht="15" customHeight="1" x14ac:dyDescent="0.25">
      <c r="A143" s="4" t="s">
        <v>296</v>
      </c>
      <c r="B143" s="33">
        <v>46082</v>
      </c>
      <c r="C143" s="4" t="s">
        <v>23</v>
      </c>
      <c r="D143" s="5" t="s">
        <v>61</v>
      </c>
      <c r="E143" s="4" t="s">
        <v>41</v>
      </c>
      <c r="F143" s="4" t="s">
        <v>48</v>
      </c>
      <c r="G143" s="5" t="s">
        <v>102</v>
      </c>
      <c r="H143" s="4">
        <v>1</v>
      </c>
      <c r="I143" s="4">
        <v>1299</v>
      </c>
      <c r="J143" s="4">
        <v>1299</v>
      </c>
      <c r="K143" s="4" t="s">
        <v>28</v>
      </c>
    </row>
    <row r="144" spans="1:11" ht="15" customHeight="1" x14ac:dyDescent="0.25">
      <c r="A144" s="2" t="s">
        <v>297</v>
      </c>
      <c r="B144" s="32">
        <v>46114</v>
      </c>
      <c r="C144" s="2" t="s">
        <v>31</v>
      </c>
      <c r="D144" s="3" t="s">
        <v>65</v>
      </c>
      <c r="E144" s="2" t="s">
        <v>17</v>
      </c>
      <c r="F144" s="2" t="s">
        <v>18</v>
      </c>
      <c r="G144" s="3" t="s">
        <v>105</v>
      </c>
      <c r="H144" s="2">
        <v>1</v>
      </c>
      <c r="I144" s="2">
        <v>65</v>
      </c>
      <c r="J144" s="2">
        <v>65</v>
      </c>
      <c r="K144" s="2" t="s">
        <v>36</v>
      </c>
    </row>
    <row r="145" spans="1:11" ht="15" customHeight="1" x14ac:dyDescent="0.25">
      <c r="A145" s="4" t="s">
        <v>298</v>
      </c>
      <c r="B145" s="33">
        <v>46145</v>
      </c>
      <c r="C145" s="4" t="s">
        <v>39</v>
      </c>
      <c r="D145" s="5" t="s">
        <v>69</v>
      </c>
      <c r="E145" s="4" t="s">
        <v>25</v>
      </c>
      <c r="F145" s="4" t="s">
        <v>26</v>
      </c>
      <c r="G145" s="5" t="s">
        <v>108</v>
      </c>
      <c r="H145" s="4">
        <v>2</v>
      </c>
      <c r="I145" s="4">
        <v>179</v>
      </c>
      <c r="J145" s="4">
        <v>358</v>
      </c>
      <c r="K145" s="4" t="s">
        <v>20</v>
      </c>
    </row>
    <row r="146" spans="1:11" ht="15" customHeight="1" x14ac:dyDescent="0.25">
      <c r="A146" s="2" t="s">
        <v>299</v>
      </c>
      <c r="B146" s="32">
        <v>46177</v>
      </c>
      <c r="C146" s="2" t="s">
        <v>46</v>
      </c>
      <c r="D146" s="3" t="s">
        <v>73</v>
      </c>
      <c r="E146" s="2" t="s">
        <v>33</v>
      </c>
      <c r="F146" s="2" t="s">
        <v>34</v>
      </c>
      <c r="G146" s="3" t="s">
        <v>111</v>
      </c>
      <c r="H146" s="2">
        <v>1</v>
      </c>
      <c r="I146" s="2">
        <v>38</v>
      </c>
      <c r="J146" s="2">
        <v>38</v>
      </c>
      <c r="K146" s="2" t="s">
        <v>28</v>
      </c>
    </row>
    <row r="147" spans="1:11" ht="15" customHeight="1" x14ac:dyDescent="0.25">
      <c r="A147" s="4" t="s">
        <v>300</v>
      </c>
      <c r="B147" s="33">
        <v>46027</v>
      </c>
      <c r="C147" s="4" t="s">
        <v>52</v>
      </c>
      <c r="D147" s="5" t="s">
        <v>77</v>
      </c>
      <c r="E147" s="4" t="s">
        <v>41</v>
      </c>
      <c r="F147" s="4" t="s">
        <v>42</v>
      </c>
      <c r="G147" s="5" t="s">
        <v>114</v>
      </c>
      <c r="H147" s="4">
        <v>3</v>
      </c>
      <c r="I147" s="4">
        <v>1495</v>
      </c>
      <c r="J147" s="4">
        <v>4485</v>
      </c>
      <c r="K147" s="4" t="s">
        <v>36</v>
      </c>
    </row>
    <row r="148" spans="1:11" ht="15" customHeight="1" x14ac:dyDescent="0.25">
      <c r="A148" s="2" t="s">
        <v>301</v>
      </c>
      <c r="B148" s="32">
        <v>46059</v>
      </c>
      <c r="C148" s="2" t="s">
        <v>15</v>
      </c>
      <c r="D148" s="3" t="s">
        <v>16</v>
      </c>
      <c r="E148" s="2" t="s">
        <v>17</v>
      </c>
      <c r="F148" s="2" t="s">
        <v>48</v>
      </c>
      <c r="G148" s="3" t="s">
        <v>117</v>
      </c>
      <c r="H148" s="2">
        <v>1</v>
      </c>
      <c r="I148" s="2">
        <v>1999</v>
      </c>
      <c r="J148" s="2">
        <v>1999</v>
      </c>
      <c r="K148" s="2" t="s">
        <v>20</v>
      </c>
    </row>
    <row r="149" spans="1:11" ht="15" customHeight="1" x14ac:dyDescent="0.25">
      <c r="A149" s="4" t="s">
        <v>302</v>
      </c>
      <c r="B149" s="33">
        <v>46088</v>
      </c>
      <c r="C149" s="4" t="s">
        <v>23</v>
      </c>
      <c r="D149" s="5" t="s">
        <v>24</v>
      </c>
      <c r="E149" s="4" t="s">
        <v>25</v>
      </c>
      <c r="F149" s="4" t="s">
        <v>18</v>
      </c>
      <c r="G149" s="5" t="s">
        <v>120</v>
      </c>
      <c r="H149" s="4">
        <v>2</v>
      </c>
      <c r="I149" s="4">
        <v>110</v>
      </c>
      <c r="J149" s="4">
        <v>220</v>
      </c>
      <c r="K149" s="4" t="s">
        <v>28</v>
      </c>
    </row>
    <row r="150" spans="1:11" ht="15" customHeight="1" x14ac:dyDescent="0.25">
      <c r="A150" s="2" t="s">
        <v>303</v>
      </c>
      <c r="B150" s="32">
        <v>46120</v>
      </c>
      <c r="C150" s="2" t="s">
        <v>31</v>
      </c>
      <c r="D150" s="3" t="s">
        <v>32</v>
      </c>
      <c r="E150" s="2" t="s">
        <v>33</v>
      </c>
      <c r="F150" s="2" t="s">
        <v>26</v>
      </c>
      <c r="G150" s="3" t="s">
        <v>123</v>
      </c>
      <c r="H150" s="2">
        <v>1</v>
      </c>
      <c r="I150" s="2">
        <v>149</v>
      </c>
      <c r="J150" s="2">
        <v>149</v>
      </c>
      <c r="K150" s="2" t="s">
        <v>36</v>
      </c>
    </row>
    <row r="151" spans="1:11" ht="15" customHeight="1" x14ac:dyDescent="0.25">
      <c r="A151" s="4" t="s">
        <v>304</v>
      </c>
      <c r="B151" s="33">
        <v>46151</v>
      </c>
      <c r="C151" s="4" t="s">
        <v>39</v>
      </c>
      <c r="D151" s="5" t="s">
        <v>40</v>
      </c>
      <c r="E151" s="4" t="s">
        <v>41</v>
      </c>
      <c r="F151" s="4" t="s">
        <v>34</v>
      </c>
      <c r="G151" s="5" t="s">
        <v>126</v>
      </c>
      <c r="H151" s="4">
        <v>1</v>
      </c>
      <c r="I151" s="4">
        <v>185</v>
      </c>
      <c r="J151" s="4">
        <v>185</v>
      </c>
      <c r="K151" s="4" t="s">
        <v>20</v>
      </c>
    </row>
    <row r="152" spans="1:11" ht="15" customHeight="1" x14ac:dyDescent="0.25">
      <c r="A152" s="2" t="s">
        <v>305</v>
      </c>
      <c r="B152" s="32">
        <v>46183</v>
      </c>
      <c r="C152" s="2" t="s">
        <v>46</v>
      </c>
      <c r="D152" s="3" t="s">
        <v>47</v>
      </c>
      <c r="E152" s="2" t="s">
        <v>17</v>
      </c>
      <c r="F152" s="2" t="s">
        <v>42</v>
      </c>
      <c r="G152" s="3" t="s">
        <v>129</v>
      </c>
      <c r="H152" s="2">
        <v>2</v>
      </c>
      <c r="I152" s="2">
        <v>149</v>
      </c>
      <c r="J152" s="2">
        <v>298</v>
      </c>
      <c r="K152" s="2" t="s">
        <v>28</v>
      </c>
    </row>
    <row r="153" spans="1:11" ht="15" customHeight="1" x14ac:dyDescent="0.25">
      <c r="A153" s="4" t="s">
        <v>306</v>
      </c>
      <c r="B153" s="33">
        <v>46033</v>
      </c>
      <c r="C153" s="4" t="s">
        <v>52</v>
      </c>
      <c r="D153" s="5" t="s">
        <v>53</v>
      </c>
      <c r="E153" s="4" t="s">
        <v>25</v>
      </c>
      <c r="F153" s="4" t="s">
        <v>48</v>
      </c>
      <c r="G153" s="5" t="s">
        <v>132</v>
      </c>
      <c r="H153" s="4">
        <v>1</v>
      </c>
      <c r="I153" s="4">
        <v>999</v>
      </c>
      <c r="J153" s="4">
        <v>999</v>
      </c>
      <c r="K153" s="4" t="s">
        <v>36</v>
      </c>
    </row>
    <row r="154" spans="1:11" ht="15" customHeight="1" x14ac:dyDescent="0.25">
      <c r="A154" s="2" t="s">
        <v>307</v>
      </c>
      <c r="B154" s="32">
        <v>46065</v>
      </c>
      <c r="C154" s="2" t="s">
        <v>15</v>
      </c>
      <c r="D154" s="3" t="s">
        <v>57</v>
      </c>
      <c r="E154" s="2" t="s">
        <v>33</v>
      </c>
      <c r="F154" s="2" t="s">
        <v>18</v>
      </c>
      <c r="G154" s="3" t="s">
        <v>19</v>
      </c>
      <c r="H154" s="2">
        <v>1</v>
      </c>
      <c r="I154" s="2">
        <v>79</v>
      </c>
      <c r="J154" s="2">
        <v>79</v>
      </c>
      <c r="K154" s="2" t="s">
        <v>20</v>
      </c>
    </row>
    <row r="155" spans="1:11" ht="15" customHeight="1" x14ac:dyDescent="0.25">
      <c r="A155" s="4" t="s">
        <v>308</v>
      </c>
      <c r="B155" s="33">
        <v>46094</v>
      </c>
      <c r="C155" s="4" t="s">
        <v>23</v>
      </c>
      <c r="D155" s="5" t="s">
        <v>61</v>
      </c>
      <c r="E155" s="4" t="s">
        <v>41</v>
      </c>
      <c r="F155" s="4" t="s">
        <v>26</v>
      </c>
      <c r="G155" s="5" t="s">
        <v>27</v>
      </c>
      <c r="H155" s="4">
        <v>2</v>
      </c>
      <c r="I155" s="4">
        <v>129</v>
      </c>
      <c r="J155" s="4">
        <v>258</v>
      </c>
      <c r="K155" s="4" t="s">
        <v>28</v>
      </c>
    </row>
    <row r="156" spans="1:11" ht="15" customHeight="1" x14ac:dyDescent="0.25">
      <c r="A156" s="2" t="s">
        <v>309</v>
      </c>
      <c r="B156" s="32">
        <v>46126</v>
      </c>
      <c r="C156" s="2" t="s">
        <v>31</v>
      </c>
      <c r="D156" s="3" t="s">
        <v>65</v>
      </c>
      <c r="E156" s="2" t="s">
        <v>17</v>
      </c>
      <c r="F156" s="2" t="s">
        <v>34</v>
      </c>
      <c r="G156" s="3" t="s">
        <v>35</v>
      </c>
      <c r="H156" s="2">
        <v>1</v>
      </c>
      <c r="I156" s="2">
        <v>88</v>
      </c>
      <c r="J156" s="2">
        <v>88</v>
      </c>
      <c r="K156" s="2" t="s">
        <v>36</v>
      </c>
    </row>
    <row r="157" spans="1:11" ht="15" customHeight="1" x14ac:dyDescent="0.25">
      <c r="A157" s="4" t="s">
        <v>310</v>
      </c>
      <c r="B157" s="33">
        <v>46157</v>
      </c>
      <c r="C157" s="4" t="s">
        <v>39</v>
      </c>
      <c r="D157" s="5" t="s">
        <v>69</v>
      </c>
      <c r="E157" s="4" t="s">
        <v>25</v>
      </c>
      <c r="F157" s="4" t="s">
        <v>42</v>
      </c>
      <c r="G157" s="5" t="s">
        <v>43</v>
      </c>
      <c r="H157" s="4">
        <v>3</v>
      </c>
      <c r="I157" s="4">
        <v>179</v>
      </c>
      <c r="J157" s="4">
        <v>537</v>
      </c>
      <c r="K157" s="4" t="s">
        <v>20</v>
      </c>
    </row>
    <row r="158" spans="1:11" ht="15" customHeight="1" x14ac:dyDescent="0.25">
      <c r="A158" s="2" t="s">
        <v>311</v>
      </c>
      <c r="B158" s="32">
        <v>46189</v>
      </c>
      <c r="C158" s="2" t="s">
        <v>46</v>
      </c>
      <c r="D158" s="3" t="s">
        <v>73</v>
      </c>
      <c r="E158" s="2" t="s">
        <v>33</v>
      </c>
      <c r="F158" s="2" t="s">
        <v>48</v>
      </c>
      <c r="G158" s="3" t="s">
        <v>49</v>
      </c>
      <c r="H158" s="2">
        <v>1</v>
      </c>
      <c r="I158" s="2">
        <v>349</v>
      </c>
      <c r="J158" s="2">
        <v>349</v>
      </c>
      <c r="K158" s="2" t="s">
        <v>28</v>
      </c>
    </row>
    <row r="159" spans="1:11" ht="15" customHeight="1" x14ac:dyDescent="0.25">
      <c r="A159" s="4" t="s">
        <v>312</v>
      </c>
      <c r="B159" s="33">
        <v>46039</v>
      </c>
      <c r="C159" s="4" t="s">
        <v>52</v>
      </c>
      <c r="D159" s="5" t="s">
        <v>77</v>
      </c>
      <c r="E159" s="4" t="s">
        <v>41</v>
      </c>
      <c r="F159" s="4" t="s">
        <v>18</v>
      </c>
      <c r="G159" s="5" t="s">
        <v>54</v>
      </c>
      <c r="H159" s="4">
        <v>2</v>
      </c>
      <c r="I159" s="4">
        <v>89</v>
      </c>
      <c r="J159" s="4">
        <v>178</v>
      </c>
      <c r="K159" s="4" t="s">
        <v>36</v>
      </c>
    </row>
    <row r="160" spans="1:11" ht="15" customHeight="1" x14ac:dyDescent="0.25">
      <c r="A160" s="2" t="s">
        <v>313</v>
      </c>
      <c r="B160" s="32">
        <v>46071</v>
      </c>
      <c r="C160" s="2" t="s">
        <v>15</v>
      </c>
      <c r="D160" s="3" t="s">
        <v>16</v>
      </c>
      <c r="E160" s="2" t="s">
        <v>17</v>
      </c>
      <c r="F160" s="2" t="s">
        <v>26</v>
      </c>
      <c r="G160" s="3" t="s">
        <v>58</v>
      </c>
      <c r="H160" s="2">
        <v>1</v>
      </c>
      <c r="I160" s="2">
        <v>399</v>
      </c>
      <c r="J160" s="2">
        <v>399</v>
      </c>
      <c r="K160" s="2" t="s">
        <v>20</v>
      </c>
    </row>
    <row r="161" spans="1:11" ht="15" customHeight="1" x14ac:dyDescent="0.25">
      <c r="A161" s="4" t="s">
        <v>314</v>
      </c>
      <c r="B161" s="33">
        <v>46100</v>
      </c>
      <c r="C161" s="4" t="s">
        <v>23</v>
      </c>
      <c r="D161" s="5" t="s">
        <v>24</v>
      </c>
      <c r="E161" s="4" t="s">
        <v>25</v>
      </c>
      <c r="F161" s="4" t="s">
        <v>34</v>
      </c>
      <c r="G161" s="5" t="s">
        <v>62</v>
      </c>
      <c r="H161" s="4">
        <v>1</v>
      </c>
      <c r="I161" s="4">
        <v>24</v>
      </c>
      <c r="J161" s="4">
        <v>24</v>
      </c>
      <c r="K161" s="4" t="s">
        <v>28</v>
      </c>
    </row>
    <row r="162" spans="1:11" ht="15" customHeight="1" x14ac:dyDescent="0.25">
      <c r="A162" s="2" t="s">
        <v>315</v>
      </c>
      <c r="B162" s="32">
        <v>46132</v>
      </c>
      <c r="C162" s="2" t="s">
        <v>31</v>
      </c>
      <c r="D162" s="3" t="s">
        <v>32</v>
      </c>
      <c r="E162" s="2" t="s">
        <v>33</v>
      </c>
      <c r="F162" s="2" t="s">
        <v>42</v>
      </c>
      <c r="G162" s="3" t="s">
        <v>66</v>
      </c>
      <c r="H162" s="2">
        <v>2</v>
      </c>
      <c r="I162" s="2">
        <v>249</v>
      </c>
      <c r="J162" s="2">
        <v>498</v>
      </c>
      <c r="K162" s="2" t="s">
        <v>36</v>
      </c>
    </row>
    <row r="163" spans="1:11" ht="15" customHeight="1" x14ac:dyDescent="0.25">
      <c r="A163" s="4" t="s">
        <v>316</v>
      </c>
      <c r="B163" s="33">
        <v>46163</v>
      </c>
      <c r="C163" s="4" t="s">
        <v>39</v>
      </c>
      <c r="D163" s="5" t="s">
        <v>40</v>
      </c>
      <c r="E163" s="4" t="s">
        <v>41</v>
      </c>
      <c r="F163" s="4" t="s">
        <v>48</v>
      </c>
      <c r="G163" s="5" t="s">
        <v>70</v>
      </c>
      <c r="H163" s="4">
        <v>1</v>
      </c>
      <c r="I163" s="4">
        <v>1099</v>
      </c>
      <c r="J163" s="4">
        <v>1099</v>
      </c>
      <c r="K163" s="4" t="s">
        <v>20</v>
      </c>
    </row>
    <row r="164" spans="1:11" ht="15" customHeight="1" x14ac:dyDescent="0.25">
      <c r="A164" s="2" t="s">
        <v>317</v>
      </c>
      <c r="B164" s="32">
        <v>46195</v>
      </c>
      <c r="C164" s="2" t="s">
        <v>46</v>
      </c>
      <c r="D164" s="3" t="s">
        <v>47</v>
      </c>
      <c r="E164" s="2" t="s">
        <v>17</v>
      </c>
      <c r="F164" s="2" t="s">
        <v>18</v>
      </c>
      <c r="G164" s="3" t="s">
        <v>74</v>
      </c>
      <c r="H164" s="2">
        <v>1</v>
      </c>
      <c r="I164" s="2">
        <v>95</v>
      </c>
      <c r="J164" s="2">
        <v>95</v>
      </c>
      <c r="K164" s="2" t="s">
        <v>28</v>
      </c>
    </row>
    <row r="165" spans="1:11" ht="15" customHeight="1" x14ac:dyDescent="0.25">
      <c r="A165" s="4" t="s">
        <v>318</v>
      </c>
      <c r="B165" s="33">
        <v>46045</v>
      </c>
      <c r="C165" s="4" t="s">
        <v>52</v>
      </c>
      <c r="D165" s="5" t="s">
        <v>53</v>
      </c>
      <c r="E165" s="4" t="s">
        <v>25</v>
      </c>
      <c r="F165" s="4" t="s">
        <v>26</v>
      </c>
      <c r="G165" s="5" t="s">
        <v>78</v>
      </c>
      <c r="H165" s="4">
        <v>2</v>
      </c>
      <c r="I165" s="4">
        <v>549</v>
      </c>
      <c r="J165" s="4">
        <v>1098</v>
      </c>
      <c r="K165" s="4" t="s">
        <v>36</v>
      </c>
    </row>
    <row r="166" spans="1:11" ht="15" customHeight="1" x14ac:dyDescent="0.25">
      <c r="A166" s="2" t="s">
        <v>319</v>
      </c>
      <c r="B166" s="32">
        <v>46077</v>
      </c>
      <c r="C166" s="2" t="s">
        <v>15</v>
      </c>
      <c r="D166" s="3" t="s">
        <v>57</v>
      </c>
      <c r="E166" s="2" t="s">
        <v>33</v>
      </c>
      <c r="F166" s="2" t="s">
        <v>34</v>
      </c>
      <c r="G166" s="3" t="s">
        <v>81</v>
      </c>
      <c r="H166" s="2">
        <v>1</v>
      </c>
      <c r="I166" s="2">
        <v>125</v>
      </c>
      <c r="J166" s="2">
        <v>125</v>
      </c>
      <c r="K166" s="2" t="s">
        <v>20</v>
      </c>
    </row>
    <row r="167" spans="1:11" ht="15" customHeight="1" x14ac:dyDescent="0.25">
      <c r="A167" s="4" t="s">
        <v>320</v>
      </c>
      <c r="B167" s="33">
        <v>46106</v>
      </c>
      <c r="C167" s="4" t="s">
        <v>23</v>
      </c>
      <c r="D167" s="5" t="s">
        <v>61</v>
      </c>
      <c r="E167" s="4" t="s">
        <v>41</v>
      </c>
      <c r="F167" s="4" t="s">
        <v>42</v>
      </c>
      <c r="G167" s="5" t="s">
        <v>84</v>
      </c>
      <c r="H167" s="4">
        <v>3</v>
      </c>
      <c r="I167" s="4">
        <v>299</v>
      </c>
      <c r="J167" s="4">
        <v>897</v>
      </c>
      <c r="K167" s="4" t="s">
        <v>28</v>
      </c>
    </row>
    <row r="168" spans="1:11" ht="15" customHeight="1" x14ac:dyDescent="0.25">
      <c r="A168" s="2" t="s">
        <v>321</v>
      </c>
      <c r="B168" s="32">
        <v>46138</v>
      </c>
      <c r="C168" s="2" t="s">
        <v>31</v>
      </c>
      <c r="D168" s="3" t="s">
        <v>65</v>
      </c>
      <c r="E168" s="2" t="s">
        <v>17</v>
      </c>
      <c r="F168" s="2" t="s">
        <v>48</v>
      </c>
      <c r="G168" s="3" t="s">
        <v>87</v>
      </c>
      <c r="H168" s="2">
        <v>1</v>
      </c>
      <c r="I168" s="2">
        <v>249</v>
      </c>
      <c r="J168" s="2">
        <v>249</v>
      </c>
      <c r="K168" s="2" t="s">
        <v>36</v>
      </c>
    </row>
    <row r="169" spans="1:11" ht="15" customHeight="1" x14ac:dyDescent="0.25">
      <c r="A169" s="4" t="s">
        <v>322</v>
      </c>
      <c r="B169" s="33">
        <v>46169</v>
      </c>
      <c r="C169" s="4" t="s">
        <v>39</v>
      </c>
      <c r="D169" s="5" t="s">
        <v>69</v>
      </c>
      <c r="E169" s="4" t="s">
        <v>25</v>
      </c>
      <c r="F169" s="4" t="s">
        <v>18</v>
      </c>
      <c r="G169" s="5" t="s">
        <v>90</v>
      </c>
      <c r="H169" s="4">
        <v>2</v>
      </c>
      <c r="I169" s="4">
        <v>180</v>
      </c>
      <c r="J169" s="4">
        <v>360</v>
      </c>
      <c r="K169" s="4" t="s">
        <v>20</v>
      </c>
    </row>
    <row r="170" spans="1:11" ht="15" customHeight="1" x14ac:dyDescent="0.25">
      <c r="A170" s="2" t="s">
        <v>323</v>
      </c>
      <c r="B170" s="32">
        <v>46201</v>
      </c>
      <c r="C170" s="2" t="s">
        <v>46</v>
      </c>
      <c r="D170" s="3" t="s">
        <v>73</v>
      </c>
      <c r="E170" s="2" t="s">
        <v>33</v>
      </c>
      <c r="F170" s="2" t="s">
        <v>26</v>
      </c>
      <c r="G170" s="3" t="s">
        <v>93</v>
      </c>
      <c r="H170" s="2">
        <v>1</v>
      </c>
      <c r="I170" s="2">
        <v>549</v>
      </c>
      <c r="J170" s="2">
        <v>549</v>
      </c>
      <c r="K170" s="2" t="s">
        <v>28</v>
      </c>
    </row>
    <row r="171" spans="1:11" ht="15" customHeight="1" x14ac:dyDescent="0.25">
      <c r="A171" s="4" t="s">
        <v>324</v>
      </c>
      <c r="B171" s="33">
        <v>46023</v>
      </c>
      <c r="C171" s="4" t="s">
        <v>52</v>
      </c>
      <c r="D171" s="5" t="s">
        <v>77</v>
      </c>
      <c r="E171" s="4" t="s">
        <v>41</v>
      </c>
      <c r="F171" s="4" t="s">
        <v>34</v>
      </c>
      <c r="G171" s="5" t="s">
        <v>96</v>
      </c>
      <c r="H171" s="4">
        <v>1</v>
      </c>
      <c r="I171" s="4">
        <v>42</v>
      </c>
      <c r="J171" s="4">
        <v>42</v>
      </c>
      <c r="K171" s="4" t="s">
        <v>36</v>
      </c>
    </row>
    <row r="172" spans="1:11" ht="15" customHeight="1" x14ac:dyDescent="0.25">
      <c r="A172" s="2" t="s">
        <v>325</v>
      </c>
      <c r="B172" s="32">
        <v>46055</v>
      </c>
      <c r="C172" s="2" t="s">
        <v>15</v>
      </c>
      <c r="D172" s="3" t="s">
        <v>16</v>
      </c>
      <c r="E172" s="2" t="s">
        <v>17</v>
      </c>
      <c r="F172" s="2" t="s">
        <v>42</v>
      </c>
      <c r="G172" s="3" t="s">
        <v>99</v>
      </c>
      <c r="H172" s="2">
        <v>2</v>
      </c>
      <c r="I172" s="2">
        <v>349</v>
      </c>
      <c r="J172" s="2">
        <v>698</v>
      </c>
      <c r="K172" s="2" t="s">
        <v>20</v>
      </c>
    </row>
    <row r="173" spans="1:11" ht="15" customHeight="1" x14ac:dyDescent="0.25">
      <c r="A173" s="4" t="s">
        <v>326</v>
      </c>
      <c r="B173" s="33">
        <v>46084</v>
      </c>
      <c r="C173" s="4" t="s">
        <v>23</v>
      </c>
      <c r="D173" s="5" t="s">
        <v>24</v>
      </c>
      <c r="E173" s="4" t="s">
        <v>25</v>
      </c>
      <c r="F173" s="4" t="s">
        <v>48</v>
      </c>
      <c r="G173" s="5" t="s">
        <v>102</v>
      </c>
      <c r="H173" s="4">
        <v>1</v>
      </c>
      <c r="I173" s="4">
        <v>1299</v>
      </c>
      <c r="J173" s="4">
        <v>1299</v>
      </c>
      <c r="K173" s="4" t="s">
        <v>28</v>
      </c>
    </row>
    <row r="174" spans="1:11" ht="15" customHeight="1" x14ac:dyDescent="0.25">
      <c r="A174" s="2" t="s">
        <v>327</v>
      </c>
      <c r="B174" s="32">
        <v>46116</v>
      </c>
      <c r="C174" s="2" t="s">
        <v>31</v>
      </c>
      <c r="D174" s="3" t="s">
        <v>32</v>
      </c>
      <c r="E174" s="2" t="s">
        <v>33</v>
      </c>
      <c r="F174" s="2" t="s">
        <v>18</v>
      </c>
      <c r="G174" s="3" t="s">
        <v>105</v>
      </c>
      <c r="H174" s="2">
        <v>1</v>
      </c>
      <c r="I174" s="2">
        <v>65</v>
      </c>
      <c r="J174" s="2">
        <v>65</v>
      </c>
      <c r="K174" s="2" t="s">
        <v>36</v>
      </c>
    </row>
    <row r="175" spans="1:11" ht="15" customHeight="1" x14ac:dyDescent="0.25">
      <c r="A175" s="4" t="s">
        <v>328</v>
      </c>
      <c r="B175" s="33">
        <v>46147</v>
      </c>
      <c r="C175" s="4" t="s">
        <v>39</v>
      </c>
      <c r="D175" s="5" t="s">
        <v>40</v>
      </c>
      <c r="E175" s="4" t="s">
        <v>41</v>
      </c>
      <c r="F175" s="4" t="s">
        <v>26</v>
      </c>
      <c r="G175" s="5" t="s">
        <v>108</v>
      </c>
      <c r="H175" s="4">
        <v>2</v>
      </c>
      <c r="I175" s="4">
        <v>179</v>
      </c>
      <c r="J175" s="4">
        <v>358</v>
      </c>
      <c r="K175" s="4" t="s">
        <v>20</v>
      </c>
    </row>
    <row r="176" spans="1:11" ht="15" customHeight="1" x14ac:dyDescent="0.25">
      <c r="A176" s="2" t="s">
        <v>329</v>
      </c>
      <c r="B176" s="32">
        <v>46179</v>
      </c>
      <c r="C176" s="2" t="s">
        <v>46</v>
      </c>
      <c r="D176" s="3" t="s">
        <v>47</v>
      </c>
      <c r="E176" s="2" t="s">
        <v>17</v>
      </c>
      <c r="F176" s="2" t="s">
        <v>34</v>
      </c>
      <c r="G176" s="3" t="s">
        <v>111</v>
      </c>
      <c r="H176" s="2">
        <v>1</v>
      </c>
      <c r="I176" s="2">
        <v>38</v>
      </c>
      <c r="J176" s="2">
        <v>38</v>
      </c>
      <c r="K176" s="2" t="s">
        <v>28</v>
      </c>
    </row>
    <row r="177" spans="1:11" ht="15" customHeight="1" x14ac:dyDescent="0.25">
      <c r="A177" s="4" t="s">
        <v>330</v>
      </c>
      <c r="B177" s="33">
        <v>46029</v>
      </c>
      <c r="C177" s="4" t="s">
        <v>52</v>
      </c>
      <c r="D177" s="5" t="s">
        <v>53</v>
      </c>
      <c r="E177" s="4" t="s">
        <v>25</v>
      </c>
      <c r="F177" s="4" t="s">
        <v>42</v>
      </c>
      <c r="G177" s="5" t="s">
        <v>114</v>
      </c>
      <c r="H177" s="4">
        <v>3</v>
      </c>
      <c r="I177" s="4">
        <v>1495</v>
      </c>
      <c r="J177" s="4">
        <v>4485</v>
      </c>
      <c r="K177" s="4" t="s">
        <v>36</v>
      </c>
    </row>
    <row r="178" spans="1:11" ht="15" customHeight="1" x14ac:dyDescent="0.25">
      <c r="A178" s="2" t="s">
        <v>331</v>
      </c>
      <c r="B178" s="32">
        <v>46061</v>
      </c>
      <c r="C178" s="2" t="s">
        <v>15</v>
      </c>
      <c r="D178" s="3" t="s">
        <v>57</v>
      </c>
      <c r="E178" s="2" t="s">
        <v>33</v>
      </c>
      <c r="F178" s="2" t="s">
        <v>48</v>
      </c>
      <c r="G178" s="3" t="s">
        <v>117</v>
      </c>
      <c r="H178" s="2">
        <v>1</v>
      </c>
      <c r="I178" s="2">
        <v>1999</v>
      </c>
      <c r="J178" s="2">
        <v>1999</v>
      </c>
      <c r="K178" s="2" t="s">
        <v>20</v>
      </c>
    </row>
    <row r="179" spans="1:11" ht="15" customHeight="1" x14ac:dyDescent="0.25">
      <c r="A179" s="4" t="s">
        <v>332</v>
      </c>
      <c r="B179" s="33">
        <v>46090</v>
      </c>
      <c r="C179" s="4" t="s">
        <v>23</v>
      </c>
      <c r="D179" s="5" t="s">
        <v>61</v>
      </c>
      <c r="E179" s="4" t="s">
        <v>41</v>
      </c>
      <c r="F179" s="4" t="s">
        <v>18</v>
      </c>
      <c r="G179" s="5" t="s">
        <v>120</v>
      </c>
      <c r="H179" s="4">
        <v>2</v>
      </c>
      <c r="I179" s="4">
        <v>110</v>
      </c>
      <c r="J179" s="4">
        <v>220</v>
      </c>
      <c r="K179" s="4" t="s">
        <v>28</v>
      </c>
    </row>
    <row r="180" spans="1:11" ht="15" customHeight="1" x14ac:dyDescent="0.25">
      <c r="A180" s="2" t="s">
        <v>333</v>
      </c>
      <c r="B180" s="32">
        <v>46122</v>
      </c>
      <c r="C180" s="2" t="s">
        <v>31</v>
      </c>
      <c r="D180" s="3" t="s">
        <v>65</v>
      </c>
      <c r="E180" s="2" t="s">
        <v>17</v>
      </c>
      <c r="F180" s="2" t="s">
        <v>26</v>
      </c>
      <c r="G180" s="3" t="s">
        <v>123</v>
      </c>
      <c r="H180" s="2">
        <v>1</v>
      </c>
      <c r="I180" s="2">
        <v>149</v>
      </c>
      <c r="J180" s="2">
        <v>149</v>
      </c>
      <c r="K180" s="2" t="s">
        <v>36</v>
      </c>
    </row>
    <row r="181" spans="1:11" ht="15" customHeight="1" x14ac:dyDescent="0.25">
      <c r="A181" s="4" t="s">
        <v>334</v>
      </c>
      <c r="B181" s="33">
        <v>46153</v>
      </c>
      <c r="C181" s="4" t="s">
        <v>39</v>
      </c>
      <c r="D181" s="5" t="s">
        <v>69</v>
      </c>
      <c r="E181" s="4" t="s">
        <v>25</v>
      </c>
      <c r="F181" s="4" t="s">
        <v>34</v>
      </c>
      <c r="G181" s="5" t="s">
        <v>126</v>
      </c>
      <c r="H181" s="4">
        <v>1</v>
      </c>
      <c r="I181" s="4">
        <v>185</v>
      </c>
      <c r="J181" s="4">
        <v>185</v>
      </c>
      <c r="K181" s="4" t="s">
        <v>20</v>
      </c>
    </row>
    <row r="182" spans="1:11" ht="15" customHeight="1" x14ac:dyDescent="0.25">
      <c r="A182" s="2" t="s">
        <v>335</v>
      </c>
      <c r="B182" s="32">
        <v>46185</v>
      </c>
      <c r="C182" s="2" t="s">
        <v>46</v>
      </c>
      <c r="D182" s="3" t="s">
        <v>73</v>
      </c>
      <c r="E182" s="2" t="s">
        <v>33</v>
      </c>
      <c r="F182" s="2" t="s">
        <v>42</v>
      </c>
      <c r="G182" s="3" t="s">
        <v>129</v>
      </c>
      <c r="H182" s="2">
        <v>2</v>
      </c>
      <c r="I182" s="2">
        <v>149</v>
      </c>
      <c r="J182" s="2">
        <v>298</v>
      </c>
      <c r="K182" s="2" t="s">
        <v>28</v>
      </c>
    </row>
    <row r="183" spans="1:11" ht="15" customHeight="1" x14ac:dyDescent="0.25">
      <c r="A183" s="4" t="s">
        <v>336</v>
      </c>
      <c r="B183" s="33">
        <v>46035</v>
      </c>
      <c r="C183" s="4" t="s">
        <v>52</v>
      </c>
      <c r="D183" s="5" t="s">
        <v>77</v>
      </c>
      <c r="E183" s="4" t="s">
        <v>41</v>
      </c>
      <c r="F183" s="4" t="s">
        <v>48</v>
      </c>
      <c r="G183" s="5" t="s">
        <v>132</v>
      </c>
      <c r="H183" s="4">
        <v>1</v>
      </c>
      <c r="I183" s="4">
        <v>999</v>
      </c>
      <c r="J183" s="4">
        <v>999</v>
      </c>
      <c r="K183" s="4" t="s">
        <v>36</v>
      </c>
    </row>
    <row r="184" spans="1:11" ht="15" customHeight="1" x14ac:dyDescent="0.25">
      <c r="A184" s="2" t="s">
        <v>337</v>
      </c>
      <c r="B184" s="32">
        <v>46067</v>
      </c>
      <c r="C184" s="2" t="s">
        <v>15</v>
      </c>
      <c r="D184" s="3" t="s">
        <v>16</v>
      </c>
      <c r="E184" s="2" t="s">
        <v>17</v>
      </c>
      <c r="F184" s="2" t="s">
        <v>18</v>
      </c>
      <c r="G184" s="3" t="s">
        <v>19</v>
      </c>
      <c r="H184" s="2">
        <v>1</v>
      </c>
      <c r="I184" s="2">
        <v>79</v>
      </c>
      <c r="J184" s="2">
        <v>79</v>
      </c>
      <c r="K184" s="2" t="s">
        <v>20</v>
      </c>
    </row>
    <row r="185" spans="1:11" ht="15" customHeight="1" x14ac:dyDescent="0.25">
      <c r="A185" s="4" t="s">
        <v>338</v>
      </c>
      <c r="B185" s="33">
        <v>46096</v>
      </c>
      <c r="C185" s="4" t="s">
        <v>23</v>
      </c>
      <c r="D185" s="5" t="s">
        <v>24</v>
      </c>
      <c r="E185" s="4" t="s">
        <v>25</v>
      </c>
      <c r="F185" s="4" t="s">
        <v>26</v>
      </c>
      <c r="G185" s="5" t="s">
        <v>27</v>
      </c>
      <c r="H185" s="4">
        <v>2</v>
      </c>
      <c r="I185" s="4">
        <v>129</v>
      </c>
      <c r="J185" s="4">
        <v>258</v>
      </c>
      <c r="K185" s="4" t="s">
        <v>28</v>
      </c>
    </row>
    <row r="186" spans="1:11" ht="15" customHeight="1" x14ac:dyDescent="0.25">
      <c r="A186" s="2" t="s">
        <v>339</v>
      </c>
      <c r="B186" s="32">
        <v>46128</v>
      </c>
      <c r="C186" s="2" t="s">
        <v>31</v>
      </c>
      <c r="D186" s="3" t="s">
        <v>32</v>
      </c>
      <c r="E186" s="2" t="s">
        <v>33</v>
      </c>
      <c r="F186" s="2" t="s">
        <v>34</v>
      </c>
      <c r="G186" s="3" t="s">
        <v>35</v>
      </c>
      <c r="H186" s="2">
        <v>1</v>
      </c>
      <c r="I186" s="2">
        <v>88</v>
      </c>
      <c r="J186" s="2">
        <v>88</v>
      </c>
      <c r="K186" s="2" t="s">
        <v>36</v>
      </c>
    </row>
    <row r="187" spans="1:11" ht="15" customHeight="1" x14ac:dyDescent="0.25">
      <c r="A187" s="4" t="s">
        <v>340</v>
      </c>
      <c r="B187" s="33">
        <v>46159</v>
      </c>
      <c r="C187" s="4" t="s">
        <v>39</v>
      </c>
      <c r="D187" s="5" t="s">
        <v>40</v>
      </c>
      <c r="E187" s="4" t="s">
        <v>41</v>
      </c>
      <c r="F187" s="4" t="s">
        <v>42</v>
      </c>
      <c r="G187" s="5" t="s">
        <v>43</v>
      </c>
      <c r="H187" s="4">
        <v>3</v>
      </c>
      <c r="I187" s="4">
        <v>179</v>
      </c>
      <c r="J187" s="4">
        <v>537</v>
      </c>
      <c r="K187" s="4" t="s">
        <v>20</v>
      </c>
    </row>
    <row r="188" spans="1:11" ht="15" customHeight="1" x14ac:dyDescent="0.25">
      <c r="A188" s="2" t="s">
        <v>341</v>
      </c>
      <c r="B188" s="32">
        <v>46191</v>
      </c>
      <c r="C188" s="2" t="s">
        <v>46</v>
      </c>
      <c r="D188" s="3" t="s">
        <v>47</v>
      </c>
      <c r="E188" s="2" t="s">
        <v>17</v>
      </c>
      <c r="F188" s="2" t="s">
        <v>48</v>
      </c>
      <c r="G188" s="3" t="s">
        <v>49</v>
      </c>
      <c r="H188" s="2">
        <v>1</v>
      </c>
      <c r="I188" s="2">
        <v>349</v>
      </c>
      <c r="J188" s="2">
        <v>349</v>
      </c>
      <c r="K188" s="2" t="s">
        <v>28</v>
      </c>
    </row>
    <row r="189" spans="1:11" ht="15" customHeight="1" x14ac:dyDescent="0.25">
      <c r="A189" s="4" t="s">
        <v>342</v>
      </c>
      <c r="B189" s="33">
        <v>46041</v>
      </c>
      <c r="C189" s="4" t="s">
        <v>52</v>
      </c>
      <c r="D189" s="5" t="s">
        <v>53</v>
      </c>
      <c r="E189" s="4" t="s">
        <v>25</v>
      </c>
      <c r="F189" s="4" t="s">
        <v>18</v>
      </c>
      <c r="G189" s="5" t="s">
        <v>54</v>
      </c>
      <c r="H189" s="4">
        <v>2</v>
      </c>
      <c r="I189" s="4">
        <v>89</v>
      </c>
      <c r="J189" s="4">
        <v>178</v>
      </c>
      <c r="K189" s="4" t="s">
        <v>36</v>
      </c>
    </row>
    <row r="190" spans="1:11" ht="15" customHeight="1" x14ac:dyDescent="0.25">
      <c r="A190" s="2" t="s">
        <v>343</v>
      </c>
      <c r="B190" s="32">
        <v>46073</v>
      </c>
      <c r="C190" s="2" t="s">
        <v>15</v>
      </c>
      <c r="D190" s="3" t="s">
        <v>57</v>
      </c>
      <c r="E190" s="2" t="s">
        <v>33</v>
      </c>
      <c r="F190" s="2" t="s">
        <v>26</v>
      </c>
      <c r="G190" s="3" t="s">
        <v>58</v>
      </c>
      <c r="H190" s="2">
        <v>1</v>
      </c>
      <c r="I190" s="2">
        <v>399</v>
      </c>
      <c r="J190" s="2">
        <v>399</v>
      </c>
      <c r="K190" s="2" t="s">
        <v>20</v>
      </c>
    </row>
    <row r="191" spans="1:11" ht="15" customHeight="1" x14ac:dyDescent="0.25">
      <c r="A191" s="4" t="s">
        <v>344</v>
      </c>
      <c r="B191" s="33">
        <v>46102</v>
      </c>
      <c r="C191" s="4" t="s">
        <v>23</v>
      </c>
      <c r="D191" s="5" t="s">
        <v>61</v>
      </c>
      <c r="E191" s="4" t="s">
        <v>41</v>
      </c>
      <c r="F191" s="4" t="s">
        <v>34</v>
      </c>
      <c r="G191" s="5" t="s">
        <v>62</v>
      </c>
      <c r="H191" s="4">
        <v>1</v>
      </c>
      <c r="I191" s="4">
        <v>24</v>
      </c>
      <c r="J191" s="4">
        <v>24</v>
      </c>
      <c r="K191" s="4" t="s">
        <v>28</v>
      </c>
    </row>
    <row r="192" spans="1:11" ht="15" customHeight="1" x14ac:dyDescent="0.25">
      <c r="A192" s="2" t="s">
        <v>345</v>
      </c>
      <c r="B192" s="32">
        <v>46134</v>
      </c>
      <c r="C192" s="2" t="s">
        <v>31</v>
      </c>
      <c r="D192" s="3" t="s">
        <v>65</v>
      </c>
      <c r="E192" s="2" t="s">
        <v>17</v>
      </c>
      <c r="F192" s="2" t="s">
        <v>42</v>
      </c>
      <c r="G192" s="3" t="s">
        <v>66</v>
      </c>
      <c r="H192" s="2">
        <v>2</v>
      </c>
      <c r="I192" s="2">
        <v>249</v>
      </c>
      <c r="J192" s="2">
        <v>498</v>
      </c>
      <c r="K192" s="2" t="s">
        <v>36</v>
      </c>
    </row>
    <row r="193" spans="1:11" ht="15" customHeight="1" x14ac:dyDescent="0.25">
      <c r="A193" s="4" t="s">
        <v>346</v>
      </c>
      <c r="B193" s="33">
        <v>46165</v>
      </c>
      <c r="C193" s="4" t="s">
        <v>39</v>
      </c>
      <c r="D193" s="5" t="s">
        <v>69</v>
      </c>
      <c r="E193" s="4" t="s">
        <v>25</v>
      </c>
      <c r="F193" s="4" t="s">
        <v>48</v>
      </c>
      <c r="G193" s="5" t="s">
        <v>70</v>
      </c>
      <c r="H193" s="4">
        <v>1</v>
      </c>
      <c r="I193" s="4">
        <v>1099</v>
      </c>
      <c r="J193" s="4">
        <v>1099</v>
      </c>
      <c r="K193" s="4" t="s">
        <v>20</v>
      </c>
    </row>
    <row r="194" spans="1:11" ht="15" customHeight="1" x14ac:dyDescent="0.25">
      <c r="A194" s="2" t="s">
        <v>347</v>
      </c>
      <c r="B194" s="32">
        <v>46197</v>
      </c>
      <c r="C194" s="2" t="s">
        <v>46</v>
      </c>
      <c r="D194" s="3" t="s">
        <v>73</v>
      </c>
      <c r="E194" s="2" t="s">
        <v>33</v>
      </c>
      <c r="F194" s="2" t="s">
        <v>18</v>
      </c>
      <c r="G194" s="3" t="s">
        <v>74</v>
      </c>
      <c r="H194" s="2">
        <v>1</v>
      </c>
      <c r="I194" s="2">
        <v>95</v>
      </c>
      <c r="J194" s="2">
        <v>95</v>
      </c>
      <c r="K194" s="2" t="s">
        <v>28</v>
      </c>
    </row>
    <row r="195" spans="1:11" ht="15" customHeight="1" x14ac:dyDescent="0.25">
      <c r="A195" s="4" t="s">
        <v>348</v>
      </c>
      <c r="B195" s="33">
        <v>46047</v>
      </c>
      <c r="C195" s="4" t="s">
        <v>52</v>
      </c>
      <c r="D195" s="5" t="s">
        <v>77</v>
      </c>
      <c r="E195" s="4" t="s">
        <v>41</v>
      </c>
      <c r="F195" s="4" t="s">
        <v>26</v>
      </c>
      <c r="G195" s="5" t="s">
        <v>78</v>
      </c>
      <c r="H195" s="4">
        <v>2</v>
      </c>
      <c r="I195" s="4">
        <v>549</v>
      </c>
      <c r="J195" s="4">
        <v>1098</v>
      </c>
      <c r="K195" s="4" t="s">
        <v>36</v>
      </c>
    </row>
    <row r="196" spans="1:11" ht="15" customHeight="1" x14ac:dyDescent="0.25">
      <c r="A196" s="2" t="s">
        <v>349</v>
      </c>
      <c r="B196" s="32">
        <v>46079</v>
      </c>
      <c r="C196" s="2" t="s">
        <v>15</v>
      </c>
      <c r="D196" s="3" t="s">
        <v>16</v>
      </c>
      <c r="E196" s="2" t="s">
        <v>17</v>
      </c>
      <c r="F196" s="2" t="s">
        <v>34</v>
      </c>
      <c r="G196" s="3" t="s">
        <v>81</v>
      </c>
      <c r="H196" s="2">
        <v>1</v>
      </c>
      <c r="I196" s="2">
        <v>125</v>
      </c>
      <c r="J196" s="2">
        <v>125</v>
      </c>
      <c r="K196" s="2" t="s">
        <v>20</v>
      </c>
    </row>
    <row r="197" spans="1:11" ht="15" customHeight="1" x14ac:dyDescent="0.25">
      <c r="A197" s="4" t="s">
        <v>350</v>
      </c>
      <c r="B197" s="33">
        <v>46108</v>
      </c>
      <c r="C197" s="4" t="s">
        <v>23</v>
      </c>
      <c r="D197" s="5" t="s">
        <v>24</v>
      </c>
      <c r="E197" s="4" t="s">
        <v>25</v>
      </c>
      <c r="F197" s="4" t="s">
        <v>42</v>
      </c>
      <c r="G197" s="5" t="s">
        <v>84</v>
      </c>
      <c r="H197" s="4">
        <v>3</v>
      </c>
      <c r="I197" s="4">
        <v>299</v>
      </c>
      <c r="J197" s="4">
        <v>897</v>
      </c>
      <c r="K197" s="4" t="s">
        <v>28</v>
      </c>
    </row>
    <row r="198" spans="1:11" ht="15" customHeight="1" x14ac:dyDescent="0.25">
      <c r="A198" s="2" t="s">
        <v>351</v>
      </c>
      <c r="B198" s="32">
        <v>46140</v>
      </c>
      <c r="C198" s="2" t="s">
        <v>31</v>
      </c>
      <c r="D198" s="3" t="s">
        <v>32</v>
      </c>
      <c r="E198" s="2" t="s">
        <v>33</v>
      </c>
      <c r="F198" s="2" t="s">
        <v>48</v>
      </c>
      <c r="G198" s="3" t="s">
        <v>87</v>
      </c>
      <c r="H198" s="2">
        <v>1</v>
      </c>
      <c r="I198" s="2">
        <v>249</v>
      </c>
      <c r="J198" s="2">
        <v>249</v>
      </c>
      <c r="K198" s="2" t="s">
        <v>36</v>
      </c>
    </row>
    <row r="199" spans="1:11" ht="15" customHeight="1" x14ac:dyDescent="0.25">
      <c r="A199" s="4" t="s">
        <v>352</v>
      </c>
      <c r="B199" s="33">
        <v>46143</v>
      </c>
      <c r="C199" s="4" t="s">
        <v>39</v>
      </c>
      <c r="D199" s="5" t="s">
        <v>40</v>
      </c>
      <c r="E199" s="4" t="s">
        <v>41</v>
      </c>
      <c r="F199" s="4" t="s">
        <v>18</v>
      </c>
      <c r="G199" s="5" t="s">
        <v>90</v>
      </c>
      <c r="H199" s="4">
        <v>2</v>
      </c>
      <c r="I199" s="4">
        <v>180</v>
      </c>
      <c r="J199" s="4">
        <v>360</v>
      </c>
      <c r="K199" s="4" t="s">
        <v>20</v>
      </c>
    </row>
    <row r="200" spans="1:11" ht="15" customHeight="1" x14ac:dyDescent="0.25">
      <c r="A200" s="2" t="s">
        <v>353</v>
      </c>
      <c r="B200" s="32">
        <v>46175</v>
      </c>
      <c r="C200" s="2" t="s">
        <v>46</v>
      </c>
      <c r="D200" s="3" t="s">
        <v>47</v>
      </c>
      <c r="E200" s="2" t="s">
        <v>17</v>
      </c>
      <c r="F200" s="2" t="s">
        <v>26</v>
      </c>
      <c r="G200" s="3" t="s">
        <v>93</v>
      </c>
      <c r="H200" s="2">
        <v>1</v>
      </c>
      <c r="I200" s="2">
        <v>549</v>
      </c>
      <c r="J200" s="2">
        <v>549</v>
      </c>
      <c r="K200" s="2" t="s">
        <v>28</v>
      </c>
    </row>
    <row r="201" spans="1:11" ht="15" customHeight="1" x14ac:dyDescent="0.25">
      <c r="A201" s="4" t="s">
        <v>354</v>
      </c>
      <c r="B201" s="33">
        <v>46025</v>
      </c>
      <c r="C201" s="4" t="s">
        <v>52</v>
      </c>
      <c r="D201" s="5" t="s">
        <v>53</v>
      </c>
      <c r="E201" s="4" t="s">
        <v>25</v>
      </c>
      <c r="F201" s="4" t="s">
        <v>34</v>
      </c>
      <c r="G201" s="5" t="s">
        <v>96</v>
      </c>
      <c r="H201" s="4">
        <v>1</v>
      </c>
      <c r="I201" s="4">
        <v>42</v>
      </c>
      <c r="J201" s="4">
        <v>42</v>
      </c>
      <c r="K201" s="4" t="s">
        <v>36</v>
      </c>
    </row>
    <row r="202" spans="1:11" ht="15" customHeight="1" x14ac:dyDescent="0.25">
      <c r="A202" s="2" t="s">
        <v>355</v>
      </c>
      <c r="B202" s="32">
        <v>46057</v>
      </c>
      <c r="C202" s="2" t="s">
        <v>15</v>
      </c>
      <c r="D202" s="3" t="s">
        <v>57</v>
      </c>
      <c r="E202" s="2" t="s">
        <v>33</v>
      </c>
      <c r="F202" s="2" t="s">
        <v>42</v>
      </c>
      <c r="G202" s="3" t="s">
        <v>99</v>
      </c>
      <c r="H202" s="2">
        <v>2</v>
      </c>
      <c r="I202" s="2">
        <v>349</v>
      </c>
      <c r="J202" s="2">
        <v>698</v>
      </c>
      <c r="K202" s="2" t="s">
        <v>20</v>
      </c>
    </row>
    <row r="203" spans="1:11" ht="15" customHeight="1" x14ac:dyDescent="0.25">
      <c r="A203" s="4" t="s">
        <v>356</v>
      </c>
      <c r="B203" s="33">
        <v>46086</v>
      </c>
      <c r="C203" s="4" t="s">
        <v>23</v>
      </c>
      <c r="D203" s="5" t="s">
        <v>61</v>
      </c>
      <c r="E203" s="4" t="s">
        <v>41</v>
      </c>
      <c r="F203" s="4" t="s">
        <v>48</v>
      </c>
      <c r="G203" s="5" t="s">
        <v>102</v>
      </c>
      <c r="H203" s="4">
        <v>1</v>
      </c>
      <c r="I203" s="4">
        <v>1299</v>
      </c>
      <c r="J203" s="4">
        <v>1299</v>
      </c>
      <c r="K203" s="4" t="s">
        <v>28</v>
      </c>
    </row>
    <row r="204" spans="1:11" x14ac:dyDescent="0.25">
      <c r="I204" t="s">
        <v>375</v>
      </c>
      <c r="J204">
        <f>SUM(J4:J203)</f>
        <v>115223</v>
      </c>
    </row>
  </sheetData>
  <mergeCells count="2">
    <mergeCell ref="A2:K2"/>
    <mergeCell ref="A1:K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2C3CA-1C5F-4371-ACE4-1A16C2F6F88E}">
  <dimension ref="A1"/>
  <sheetViews>
    <sheetView topLeftCell="A19" zoomScale="84" zoomScaleNormal="84" workbookViewId="0">
      <selection activeCell="AB23" sqref="AB23"/>
    </sheetView>
  </sheetViews>
  <sheetFormatPr defaultRowHeight="15" x14ac:dyDescent="0.2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6E135-6F47-4BF1-B9E4-2997CC28C91D}">
  <dimension ref="A1:X52"/>
  <sheetViews>
    <sheetView topLeftCell="A33" workbookViewId="0">
      <selection activeCell="T43" sqref="T43"/>
    </sheetView>
  </sheetViews>
  <sheetFormatPr defaultRowHeight="15" x14ac:dyDescent="0.25"/>
  <cols>
    <col min="1" max="1" width="13.140625" bestFit="1" customWidth="1"/>
    <col min="2" max="2" width="18" bestFit="1" customWidth="1"/>
    <col min="6" max="6" width="15.42578125" customWidth="1"/>
    <col min="7" max="7" width="11.5703125" customWidth="1"/>
    <col min="8" max="8" width="16.42578125" customWidth="1"/>
    <col min="9" max="9" width="11" customWidth="1"/>
    <col min="18" max="18" width="5.28515625" bestFit="1" customWidth="1"/>
    <col min="21" max="21" width="15.7109375" bestFit="1" customWidth="1"/>
    <col min="22" max="22" width="18.5703125" bestFit="1" customWidth="1"/>
    <col min="23" max="23" width="15.7109375" bestFit="1" customWidth="1"/>
    <col min="24" max="24" width="18.5703125" bestFit="1" customWidth="1"/>
  </cols>
  <sheetData>
    <row r="1" spans="1:24" x14ac:dyDescent="0.25">
      <c r="A1" s="42" t="s">
        <v>639</v>
      </c>
      <c r="B1" s="97" t="s">
        <v>641</v>
      </c>
      <c r="C1" s="97"/>
      <c r="D1" s="36"/>
      <c r="E1" s="97" t="s">
        <v>640</v>
      </c>
      <c r="F1" s="97"/>
      <c r="G1" s="97" t="s">
        <v>642</v>
      </c>
      <c r="H1" s="97"/>
      <c r="J1" s="86" t="s">
        <v>649</v>
      </c>
      <c r="K1" s="86"/>
      <c r="L1" s="86"/>
      <c r="M1" s="87"/>
      <c r="N1" s="40" t="s">
        <v>648</v>
      </c>
      <c r="O1" s="40"/>
      <c r="P1" s="41"/>
      <c r="Q1" s="40"/>
      <c r="R1" s="40"/>
      <c r="S1" s="40"/>
    </row>
    <row r="2" spans="1:24" x14ac:dyDescent="0.25">
      <c r="A2" s="37">
        <f>SUM('Sales Data'!J4:J203)</f>
        <v>115223</v>
      </c>
      <c r="B2" s="36" t="s">
        <v>643</v>
      </c>
      <c r="C2" s="36">
        <f>SUM(O3:O52)</f>
        <v>18634</v>
      </c>
      <c r="D2" s="36"/>
      <c r="E2" s="98">
        <f>SUM('Sales Data'!H4:H203)</f>
        <v>300</v>
      </c>
      <c r="F2" s="98"/>
      <c r="G2" s="36" t="s">
        <v>647</v>
      </c>
      <c r="H2" s="36">
        <f ca="1">MAX(L2:L13)</f>
        <v>21504</v>
      </c>
      <c r="J2" t="str" cm="1">
        <f t="array" ref="J2:J13">_xlfn.UNIQUE('Sales Data'!D6:D202,FALSE,FALSE)</f>
        <v>Amanda Thomas</v>
      </c>
      <c r="L2">
        <f ca="1">SUMIF('Sales Data'!$D$6:$J$202,J2,'Sales Data'!$J$6:$J$202)</f>
        <v>3484</v>
      </c>
      <c r="N2" s="36"/>
      <c r="O2" s="36" t="s">
        <v>643</v>
      </c>
      <c r="P2" s="36" t="s">
        <v>644</v>
      </c>
      <c r="Q2" s="36" t="s">
        <v>645</v>
      </c>
      <c r="R2" s="36" t="s">
        <v>646</v>
      </c>
      <c r="S2" s="36"/>
      <c r="U2" s="11" t="s">
        <v>562</v>
      </c>
      <c r="V2" t="s">
        <v>567</v>
      </c>
      <c r="W2" s="11" t="s">
        <v>562</v>
      </c>
      <c r="X2" t="s">
        <v>564</v>
      </c>
    </row>
    <row r="3" spans="1:24" x14ac:dyDescent="0.25">
      <c r="A3" s="36">
        <f>SUM(C2:C5)</f>
        <v>115223</v>
      </c>
      <c r="B3" s="36" t="s">
        <v>644</v>
      </c>
      <c r="C3" s="36">
        <f>SUM(P3:P52)</f>
        <v>39435</v>
      </c>
      <c r="D3" s="36"/>
      <c r="E3" s="36"/>
      <c r="F3" s="36"/>
      <c r="G3" s="37" t="s">
        <v>642</v>
      </c>
      <c r="H3" s="37" t="str">
        <f ca="1">INDEX(J2:K13,MATCH(H2,L2:L13,0),1)</f>
        <v>James Wilson</v>
      </c>
      <c r="J3" t="str">
        <v>Sarah Connor</v>
      </c>
      <c r="L3">
        <f ca="1">SUMIF('Sales Data'!$D$6:$J$202,J3,'Sales Data'!$J$6:$J$202)</f>
        <v>8514</v>
      </c>
      <c r="N3" s="36"/>
      <c r="O3" s="38">
        <v>79</v>
      </c>
      <c r="P3" s="39">
        <v>537</v>
      </c>
      <c r="Q3" s="39">
        <v>258</v>
      </c>
      <c r="R3" s="38">
        <v>88</v>
      </c>
      <c r="S3" s="36"/>
      <c r="U3" s="12" t="s">
        <v>48</v>
      </c>
      <c r="V3">
        <v>39</v>
      </c>
      <c r="W3" s="12" t="s">
        <v>25</v>
      </c>
      <c r="X3">
        <v>38591</v>
      </c>
    </row>
    <row r="4" spans="1:24" x14ac:dyDescent="0.25">
      <c r="A4" s="36"/>
      <c r="B4" s="36" t="s">
        <v>645</v>
      </c>
      <c r="C4" s="36">
        <f>SUM(Q3:Q52)</f>
        <v>38591</v>
      </c>
      <c r="D4" s="88" t="s">
        <v>650</v>
      </c>
      <c r="E4" s="89"/>
      <c r="F4" s="89"/>
      <c r="G4" s="89"/>
      <c r="H4" s="90"/>
      <c r="J4" t="str">
        <v>Lisa Martinez</v>
      </c>
      <c r="L4">
        <f ca="1">SUMIF('Sales Data'!$D$6:$J$202,J4,'Sales Data'!$J$6:$J$202)</f>
        <v>4885</v>
      </c>
      <c r="N4" s="36"/>
      <c r="O4" s="38">
        <v>349</v>
      </c>
      <c r="P4" s="39">
        <v>24</v>
      </c>
      <c r="Q4" s="39">
        <v>178</v>
      </c>
      <c r="R4" s="38">
        <v>399</v>
      </c>
      <c r="S4" s="36"/>
      <c r="U4" s="12" t="s">
        <v>34</v>
      </c>
      <c r="V4">
        <v>40</v>
      </c>
      <c r="W4" s="12" t="s">
        <v>41</v>
      </c>
      <c r="X4">
        <v>38136</v>
      </c>
    </row>
    <row r="5" spans="1:24" x14ac:dyDescent="0.25">
      <c r="A5" s="36"/>
      <c r="B5" s="36" t="s">
        <v>646</v>
      </c>
      <c r="C5" s="36">
        <f>SUM(R3:R52)</f>
        <v>18563</v>
      </c>
      <c r="D5" s="91"/>
      <c r="E5" s="92"/>
      <c r="F5" s="92"/>
      <c r="G5" s="92"/>
      <c r="H5" s="93"/>
      <c r="J5" t="str">
        <v>David Lee</v>
      </c>
      <c r="L5">
        <f ca="1">SUMIF('Sales Data'!$D$6:$J$202,J5,'Sales Data'!$J$6:$J$202)</f>
        <v>20626</v>
      </c>
      <c r="N5" s="36"/>
      <c r="O5" s="38">
        <v>498</v>
      </c>
      <c r="P5" s="39">
        <v>1098</v>
      </c>
      <c r="Q5" s="39">
        <v>1099</v>
      </c>
      <c r="R5" s="38">
        <v>95</v>
      </c>
      <c r="S5" s="36"/>
      <c r="U5" s="12" t="s">
        <v>26</v>
      </c>
      <c r="V5">
        <v>60</v>
      </c>
      <c r="W5" s="12" t="s">
        <v>17</v>
      </c>
      <c r="X5">
        <v>18634</v>
      </c>
    </row>
    <row r="6" spans="1:24" x14ac:dyDescent="0.25">
      <c r="A6" s="36"/>
      <c r="B6" s="36" t="s">
        <v>647</v>
      </c>
      <c r="C6" s="36">
        <f>MAX(C2:C5)</f>
        <v>39435</v>
      </c>
      <c r="D6" s="91"/>
      <c r="E6" s="92"/>
      <c r="F6" s="92"/>
      <c r="G6" s="92"/>
      <c r="H6" s="93"/>
      <c r="J6" t="str">
        <v>Joshua Jackson</v>
      </c>
      <c r="L6">
        <f ca="1">SUMIF('Sales Data'!$D$6:$J$202,J6,'Sales Data'!$J$6:$J$202)</f>
        <v>10997</v>
      </c>
      <c r="N6" s="36"/>
      <c r="O6" s="38">
        <v>125</v>
      </c>
      <c r="P6" s="39">
        <v>360</v>
      </c>
      <c r="Q6" s="39">
        <v>897</v>
      </c>
      <c r="R6" s="38">
        <v>249</v>
      </c>
      <c r="S6" s="36"/>
      <c r="U6" s="12" t="s">
        <v>18</v>
      </c>
      <c r="V6">
        <v>60</v>
      </c>
      <c r="W6" s="12" t="s">
        <v>33</v>
      </c>
      <c r="X6">
        <v>18563</v>
      </c>
    </row>
    <row r="7" spans="1:24" x14ac:dyDescent="0.25">
      <c r="A7" s="36"/>
      <c r="B7" s="37" t="s">
        <v>641</v>
      </c>
      <c r="C7" s="37" t="str">
        <f>INDEX(B2:B5,MATCH(C6,C2:C5,0),1)</f>
        <v>north</v>
      </c>
      <c r="D7" s="94"/>
      <c r="E7" s="95"/>
      <c r="F7" s="95"/>
      <c r="G7" s="95"/>
      <c r="H7" s="96"/>
      <c r="J7" t="str">
        <v>Mike Johnson</v>
      </c>
      <c r="L7">
        <f ca="1">SUMIF('Sales Data'!$D$6:$J$202,J7,'Sales Data'!$J$6:$J$202)</f>
        <v>8118</v>
      </c>
      <c r="N7" s="36"/>
      <c r="O7" s="38">
        <v>549</v>
      </c>
      <c r="P7" s="39">
        <v>1299</v>
      </c>
      <c r="Q7" s="39">
        <v>42</v>
      </c>
      <c r="R7" s="38">
        <v>698</v>
      </c>
      <c r="S7" s="36"/>
      <c r="U7" s="12" t="s">
        <v>42</v>
      </c>
      <c r="V7">
        <v>100</v>
      </c>
      <c r="W7" s="12" t="s">
        <v>563</v>
      </c>
      <c r="X7">
        <v>113924</v>
      </c>
    </row>
    <row r="8" spans="1:24" x14ac:dyDescent="0.25">
      <c r="J8" t="str">
        <v>Emily Davis</v>
      </c>
      <c r="L8">
        <f ca="1">SUMIF('Sales Data'!$D$6:$J$202,J8,'Sales Data'!$J$6:$J$202)</f>
        <v>3645</v>
      </c>
      <c r="N8" s="36"/>
      <c r="O8" s="38">
        <v>65</v>
      </c>
      <c r="P8" s="39">
        <v>4485</v>
      </c>
      <c r="Q8" s="39">
        <v>358</v>
      </c>
      <c r="R8" s="38">
        <v>38</v>
      </c>
      <c r="S8" s="36"/>
      <c r="U8" s="12" t="s">
        <v>563</v>
      </c>
      <c r="V8">
        <v>299</v>
      </c>
    </row>
    <row r="9" spans="1:24" x14ac:dyDescent="0.25">
      <c r="J9" t="str">
        <v>Jennifer Taylor</v>
      </c>
      <c r="L9">
        <f ca="1">SUMIF('Sales Data'!$D$6:$J$202,J9,'Sales Data'!$J$6:$J$202)</f>
        <v>8716</v>
      </c>
      <c r="N9" s="36"/>
      <c r="O9" s="38">
        <v>1999</v>
      </c>
      <c r="P9" s="39">
        <v>185</v>
      </c>
      <c r="Q9" s="39">
        <v>220</v>
      </c>
      <c r="R9" s="38">
        <v>149</v>
      </c>
      <c r="S9" s="36"/>
    </row>
    <row r="10" spans="1:24" x14ac:dyDescent="0.25">
      <c r="J10" t="str">
        <v>Ashley White</v>
      </c>
      <c r="L10">
        <f ca="1">SUMIF('Sales Data'!$D$6:$J$202,J10,'Sales Data'!$J$6:$J$202)</f>
        <v>4082</v>
      </c>
      <c r="N10" s="36"/>
      <c r="O10" s="38">
        <v>298</v>
      </c>
      <c r="P10" s="39">
        <v>258</v>
      </c>
      <c r="Q10" s="39">
        <v>999</v>
      </c>
      <c r="R10" s="38">
        <v>79</v>
      </c>
      <c r="S10" s="36"/>
    </row>
    <row r="11" spans="1:24" x14ac:dyDescent="0.25">
      <c r="J11" t="str">
        <v>James Wilson</v>
      </c>
      <c r="L11">
        <f ca="1">SUMIF('Sales Data'!$D$6:$J$202,J11,'Sales Data'!$J$6:$J$202)</f>
        <v>21504</v>
      </c>
      <c r="N11" s="36"/>
      <c r="O11" s="38">
        <v>88</v>
      </c>
      <c r="P11" s="39">
        <v>178</v>
      </c>
      <c r="Q11" s="39">
        <v>537</v>
      </c>
      <c r="R11" s="38">
        <v>349</v>
      </c>
      <c r="S11" s="36"/>
      <c r="U11" s="11" t="s">
        <v>562</v>
      </c>
      <c r="V11" t="s">
        <v>564</v>
      </c>
    </row>
    <row r="12" spans="1:24" x14ac:dyDescent="0.25">
      <c r="J12" t="str">
        <v>Robert Brown</v>
      </c>
      <c r="L12">
        <f ca="1">SUMIF('Sales Data'!$D$6:$J$202,J12,'Sales Data'!$J$6:$J$202)</f>
        <v>10025</v>
      </c>
      <c r="N12" s="36"/>
      <c r="O12" s="38">
        <v>399</v>
      </c>
      <c r="P12" s="39">
        <v>1099</v>
      </c>
      <c r="Q12" s="39">
        <v>24</v>
      </c>
      <c r="R12" s="38">
        <v>498</v>
      </c>
      <c r="S12" s="36"/>
      <c r="U12" s="12" t="s">
        <v>53</v>
      </c>
      <c r="V12">
        <v>20626</v>
      </c>
    </row>
    <row r="13" spans="1:24" x14ac:dyDescent="0.25">
      <c r="H13" t="s">
        <v>654</v>
      </c>
      <c r="J13" t="str">
        <v>Chris Anderson</v>
      </c>
      <c r="L13">
        <f ca="1">SUMIF('Sales Data'!$D$6:$J$202,J13,'Sales Data'!$J$6:$J$202)</f>
        <v>8991</v>
      </c>
      <c r="N13" s="36"/>
      <c r="O13" s="38">
        <v>95</v>
      </c>
      <c r="P13" s="39">
        <v>897</v>
      </c>
      <c r="Q13" s="39">
        <v>1098</v>
      </c>
      <c r="R13" s="38">
        <v>125</v>
      </c>
      <c r="S13" s="36"/>
      <c r="U13" s="12" t="s">
        <v>77</v>
      </c>
      <c r="V13">
        <v>21504</v>
      </c>
    </row>
    <row r="14" spans="1:24" x14ac:dyDescent="0.25">
      <c r="H14" t="s">
        <v>653</v>
      </c>
      <c r="N14" s="36"/>
      <c r="O14" s="38">
        <v>249</v>
      </c>
      <c r="P14" s="39">
        <v>42</v>
      </c>
      <c r="Q14" s="39">
        <v>360</v>
      </c>
      <c r="R14" s="38">
        <v>549</v>
      </c>
      <c r="S14" s="36"/>
      <c r="U14" s="12" t="s">
        <v>57</v>
      </c>
      <c r="V14">
        <v>10997</v>
      </c>
    </row>
    <row r="15" spans="1:24" x14ac:dyDescent="0.25">
      <c r="H15" t="s">
        <v>656</v>
      </c>
      <c r="N15" s="36"/>
      <c r="O15" s="38">
        <v>698</v>
      </c>
      <c r="P15" s="39">
        <v>358</v>
      </c>
      <c r="Q15" s="39">
        <v>1299</v>
      </c>
      <c r="R15" s="38">
        <v>65</v>
      </c>
      <c r="S15" s="36"/>
      <c r="U15" s="12" t="s">
        <v>563</v>
      </c>
      <c r="V15">
        <v>53127</v>
      </c>
    </row>
    <row r="16" spans="1:24" x14ac:dyDescent="0.25">
      <c r="H16" t="s">
        <v>655</v>
      </c>
      <c r="N16" s="36"/>
      <c r="O16" s="38">
        <v>38</v>
      </c>
      <c r="P16" s="39">
        <v>220</v>
      </c>
      <c r="Q16" s="39">
        <v>4485</v>
      </c>
      <c r="R16" s="38">
        <v>1999</v>
      </c>
      <c r="S16" s="36"/>
    </row>
    <row r="17" spans="14:24" x14ac:dyDescent="0.25">
      <c r="N17" s="36"/>
      <c r="O17" s="38">
        <v>149</v>
      </c>
      <c r="P17" s="39">
        <v>999</v>
      </c>
      <c r="Q17" s="39">
        <v>185</v>
      </c>
      <c r="R17" s="38">
        <v>298</v>
      </c>
      <c r="S17" s="36"/>
      <c r="U17" s="11" t="s">
        <v>562</v>
      </c>
      <c r="V17" t="s">
        <v>564</v>
      </c>
      <c r="W17" s="43" t="s">
        <v>5</v>
      </c>
      <c r="X17" s="43" t="s">
        <v>651</v>
      </c>
    </row>
    <row r="18" spans="14:24" x14ac:dyDescent="0.25">
      <c r="N18" s="36"/>
      <c r="O18" s="38">
        <v>79</v>
      </c>
      <c r="P18" s="39">
        <v>537</v>
      </c>
      <c r="Q18" s="39">
        <v>258</v>
      </c>
      <c r="R18" s="38">
        <v>88</v>
      </c>
      <c r="S18" s="36"/>
      <c r="U18" s="12" t="s">
        <v>77</v>
      </c>
      <c r="V18">
        <v>21504</v>
      </c>
      <c r="W18" s="12" t="s">
        <v>77</v>
      </c>
      <c r="X18">
        <v>21504</v>
      </c>
    </row>
    <row r="19" spans="14:24" x14ac:dyDescent="0.25">
      <c r="N19" s="36"/>
      <c r="O19" s="38">
        <v>349</v>
      </c>
      <c r="P19" s="39">
        <v>24</v>
      </c>
      <c r="Q19" s="39">
        <v>178</v>
      </c>
      <c r="R19" s="38">
        <v>399</v>
      </c>
      <c r="S19" s="36"/>
      <c r="U19" s="12" t="s">
        <v>53</v>
      </c>
      <c r="V19">
        <v>20626</v>
      </c>
      <c r="W19" s="12" t="s">
        <v>53</v>
      </c>
      <c r="X19">
        <v>20626</v>
      </c>
    </row>
    <row r="20" spans="14:24" x14ac:dyDescent="0.25">
      <c r="N20" s="36"/>
      <c r="O20" s="38">
        <v>498</v>
      </c>
      <c r="P20" s="39">
        <v>1098</v>
      </c>
      <c r="Q20" s="39">
        <v>1099</v>
      </c>
      <c r="R20" s="38">
        <v>95</v>
      </c>
      <c r="S20" s="36"/>
      <c r="U20" s="12" t="s">
        <v>57</v>
      </c>
      <c r="V20">
        <v>10997</v>
      </c>
      <c r="W20" s="12" t="s">
        <v>57</v>
      </c>
      <c r="X20">
        <v>10997</v>
      </c>
    </row>
    <row r="21" spans="14:24" x14ac:dyDescent="0.25">
      <c r="N21" s="36"/>
      <c r="O21" s="38">
        <v>125</v>
      </c>
      <c r="P21" s="39">
        <v>360</v>
      </c>
      <c r="Q21" s="39">
        <v>897</v>
      </c>
      <c r="R21" s="38">
        <v>249</v>
      </c>
      <c r="S21" s="36"/>
      <c r="U21" s="12" t="s">
        <v>16</v>
      </c>
      <c r="V21">
        <v>10104</v>
      </c>
      <c r="W21" s="12" t="s">
        <v>73</v>
      </c>
      <c r="X21">
        <v>4082</v>
      </c>
    </row>
    <row r="22" spans="14:24" x14ac:dyDescent="0.25">
      <c r="N22" s="36"/>
      <c r="O22" s="38">
        <v>549</v>
      </c>
      <c r="P22" s="39">
        <v>1299</v>
      </c>
      <c r="Q22" s="39">
        <v>42</v>
      </c>
      <c r="R22" s="38">
        <v>698</v>
      </c>
      <c r="S22" s="36"/>
      <c r="U22" s="12" t="s">
        <v>24</v>
      </c>
      <c r="V22">
        <v>9249</v>
      </c>
      <c r="W22" s="12" t="s">
        <v>65</v>
      </c>
      <c r="X22">
        <v>3645</v>
      </c>
    </row>
    <row r="23" spans="14:24" x14ac:dyDescent="0.25">
      <c r="N23" s="36"/>
      <c r="O23" s="38">
        <v>65</v>
      </c>
      <c r="P23" s="39">
        <v>4485</v>
      </c>
      <c r="Q23" s="39">
        <v>358</v>
      </c>
      <c r="R23" s="38">
        <v>38</v>
      </c>
      <c r="S23" s="36"/>
      <c r="U23" s="12" t="s">
        <v>69</v>
      </c>
      <c r="V23">
        <v>8716</v>
      </c>
      <c r="W23" s="12" t="s">
        <v>32</v>
      </c>
      <c r="X23">
        <v>3484</v>
      </c>
    </row>
    <row r="24" spans="14:24" x14ac:dyDescent="0.25">
      <c r="N24" s="36"/>
      <c r="O24" s="38">
        <v>1999</v>
      </c>
      <c r="P24" s="39">
        <v>185</v>
      </c>
      <c r="Q24" s="39">
        <v>220</v>
      </c>
      <c r="R24" s="38">
        <v>149</v>
      </c>
      <c r="S24" s="36"/>
      <c r="U24" s="12" t="s">
        <v>40</v>
      </c>
      <c r="V24">
        <v>8514</v>
      </c>
      <c r="W24" s="12"/>
    </row>
    <row r="25" spans="14:24" x14ac:dyDescent="0.25">
      <c r="N25" s="36"/>
      <c r="O25" s="38">
        <v>298</v>
      </c>
      <c r="P25" s="39">
        <v>258</v>
      </c>
      <c r="Q25" s="39">
        <v>999</v>
      </c>
      <c r="R25" s="38">
        <v>79</v>
      </c>
      <c r="S25" s="36"/>
      <c r="U25" s="12" t="s">
        <v>61</v>
      </c>
      <c r="V25">
        <v>8118</v>
      </c>
      <c r="W25" s="12"/>
    </row>
    <row r="26" spans="14:24" x14ac:dyDescent="0.25">
      <c r="N26" s="36"/>
      <c r="O26" s="38">
        <v>88</v>
      </c>
      <c r="P26" s="39">
        <v>178</v>
      </c>
      <c r="Q26" s="39">
        <v>537</v>
      </c>
      <c r="R26" s="38">
        <v>349</v>
      </c>
      <c r="S26" s="36"/>
      <c r="U26" s="12" t="s">
        <v>47</v>
      </c>
      <c r="V26">
        <v>4885</v>
      </c>
      <c r="W26" s="12"/>
    </row>
    <row r="27" spans="14:24" x14ac:dyDescent="0.25">
      <c r="N27" s="36"/>
      <c r="O27" s="38">
        <v>399</v>
      </c>
      <c r="P27" s="39">
        <v>1099</v>
      </c>
      <c r="Q27" s="39">
        <v>24</v>
      </c>
      <c r="R27" s="38">
        <v>498</v>
      </c>
      <c r="S27" s="36"/>
      <c r="U27" s="12" t="s">
        <v>73</v>
      </c>
      <c r="V27">
        <v>4082</v>
      </c>
    </row>
    <row r="28" spans="14:24" x14ac:dyDescent="0.25">
      <c r="N28" s="36"/>
      <c r="O28" s="38">
        <v>95</v>
      </c>
      <c r="P28" s="39">
        <v>897</v>
      </c>
      <c r="Q28" s="39">
        <v>1098</v>
      </c>
      <c r="R28" s="38">
        <v>125</v>
      </c>
      <c r="S28" s="36"/>
      <c r="U28" s="12" t="s">
        <v>65</v>
      </c>
      <c r="V28">
        <v>3645</v>
      </c>
    </row>
    <row r="29" spans="14:24" x14ac:dyDescent="0.25">
      <c r="N29" s="36"/>
      <c r="O29" s="38">
        <v>249</v>
      </c>
      <c r="P29" s="39">
        <v>42</v>
      </c>
      <c r="Q29" s="39">
        <v>360</v>
      </c>
      <c r="R29" s="38">
        <v>549</v>
      </c>
      <c r="S29" s="36"/>
      <c r="U29" s="12" t="s">
        <v>32</v>
      </c>
      <c r="V29">
        <v>3484</v>
      </c>
    </row>
    <row r="30" spans="14:24" x14ac:dyDescent="0.25">
      <c r="N30" s="36"/>
      <c r="O30" s="38">
        <v>698</v>
      </c>
      <c r="P30" s="39">
        <v>358</v>
      </c>
      <c r="Q30" s="39">
        <v>1299</v>
      </c>
      <c r="R30" s="38">
        <v>65</v>
      </c>
      <c r="S30" s="36"/>
      <c r="U30" s="12" t="s">
        <v>563</v>
      </c>
      <c r="V30">
        <v>113924</v>
      </c>
    </row>
    <row r="31" spans="14:24" x14ac:dyDescent="0.25">
      <c r="N31" s="36"/>
      <c r="O31" s="38">
        <v>38</v>
      </c>
      <c r="P31" s="39">
        <v>220</v>
      </c>
      <c r="Q31" s="39">
        <v>4485</v>
      </c>
      <c r="R31" s="38">
        <v>1999</v>
      </c>
      <c r="S31" s="36"/>
    </row>
    <row r="32" spans="14:24" x14ac:dyDescent="0.25">
      <c r="N32" s="36"/>
      <c r="O32" s="38">
        <v>149</v>
      </c>
      <c r="P32" s="39">
        <v>999</v>
      </c>
      <c r="Q32" s="39">
        <v>185</v>
      </c>
      <c r="R32" s="38">
        <v>298</v>
      </c>
      <c r="S32" s="36"/>
    </row>
    <row r="33" spans="7:19" x14ac:dyDescent="0.25">
      <c r="N33" s="36"/>
      <c r="O33" s="38">
        <v>79</v>
      </c>
      <c r="P33" s="39">
        <v>537</v>
      </c>
      <c r="Q33" s="39">
        <v>258</v>
      </c>
      <c r="R33" s="38">
        <v>88</v>
      </c>
      <c r="S33" s="36"/>
    </row>
    <row r="34" spans="7:19" x14ac:dyDescent="0.25">
      <c r="N34" s="36"/>
      <c r="O34" s="38">
        <v>349</v>
      </c>
      <c r="P34" s="39">
        <v>24</v>
      </c>
      <c r="Q34" s="39">
        <v>178</v>
      </c>
      <c r="R34" s="38">
        <v>399</v>
      </c>
      <c r="S34" s="36"/>
    </row>
    <row r="35" spans="7:19" x14ac:dyDescent="0.25">
      <c r="N35" s="36"/>
      <c r="O35" s="38">
        <v>498</v>
      </c>
      <c r="P35" s="39">
        <v>1098</v>
      </c>
      <c r="Q35" s="39">
        <v>1099</v>
      </c>
      <c r="R35" s="38">
        <v>95</v>
      </c>
      <c r="S35" s="36"/>
    </row>
    <row r="36" spans="7:19" x14ac:dyDescent="0.25">
      <c r="N36" s="36"/>
      <c r="O36" s="38">
        <v>125</v>
      </c>
      <c r="P36" s="39">
        <v>360</v>
      </c>
      <c r="Q36" s="39">
        <v>897</v>
      </c>
      <c r="R36" s="38">
        <v>249</v>
      </c>
      <c r="S36" s="36"/>
    </row>
    <row r="37" spans="7:19" x14ac:dyDescent="0.25">
      <c r="N37" s="36"/>
      <c r="O37" s="38">
        <v>549</v>
      </c>
      <c r="P37" s="39">
        <v>1299</v>
      </c>
      <c r="Q37" s="39">
        <v>42</v>
      </c>
      <c r="R37" s="38">
        <v>698</v>
      </c>
      <c r="S37" s="36"/>
    </row>
    <row r="38" spans="7:19" x14ac:dyDescent="0.25">
      <c r="N38" s="36"/>
      <c r="O38" s="38">
        <v>65</v>
      </c>
      <c r="P38" s="39">
        <v>4485</v>
      </c>
      <c r="Q38" s="39">
        <v>358</v>
      </c>
      <c r="R38" s="38">
        <v>38</v>
      </c>
      <c r="S38" s="36"/>
    </row>
    <row r="39" spans="7:19" x14ac:dyDescent="0.25">
      <c r="N39" s="36"/>
      <c r="O39" s="38">
        <v>1999</v>
      </c>
      <c r="P39" s="39">
        <v>185</v>
      </c>
      <c r="Q39" s="39">
        <v>220</v>
      </c>
      <c r="R39" s="38">
        <v>149</v>
      </c>
      <c r="S39" s="36"/>
    </row>
    <row r="40" spans="7:19" x14ac:dyDescent="0.25">
      <c r="G40" s="85" t="s">
        <v>652</v>
      </c>
      <c r="H40" s="85"/>
      <c r="I40" s="85"/>
      <c r="J40" s="85"/>
      <c r="N40" s="36"/>
      <c r="O40" s="38">
        <v>298</v>
      </c>
      <c r="P40" s="39">
        <v>258</v>
      </c>
      <c r="Q40" s="39">
        <v>999</v>
      </c>
      <c r="R40" s="38">
        <v>79</v>
      </c>
      <c r="S40" s="36"/>
    </row>
    <row r="41" spans="7:19" x14ac:dyDescent="0.25">
      <c r="G41" s="36"/>
      <c r="H41" s="45" t="s">
        <v>5</v>
      </c>
      <c r="I41" s="45" t="s">
        <v>651</v>
      </c>
      <c r="J41" s="36"/>
      <c r="N41" s="36"/>
      <c r="O41" s="38">
        <v>88</v>
      </c>
      <c r="P41" s="39">
        <v>178</v>
      </c>
      <c r="Q41" s="39">
        <v>537</v>
      </c>
      <c r="R41" s="38">
        <v>349</v>
      </c>
      <c r="S41" s="36"/>
    </row>
    <row r="42" spans="7:19" x14ac:dyDescent="0.25">
      <c r="G42" s="36"/>
      <c r="H42" s="44" t="s">
        <v>77</v>
      </c>
      <c r="I42" s="36">
        <v>21504</v>
      </c>
      <c r="J42" s="36"/>
      <c r="N42" s="36"/>
      <c r="O42" s="38">
        <v>399</v>
      </c>
      <c r="P42" s="39">
        <v>1099</v>
      </c>
      <c r="Q42" s="39">
        <v>24</v>
      </c>
      <c r="R42" s="38">
        <v>498</v>
      </c>
      <c r="S42" s="36"/>
    </row>
    <row r="43" spans="7:19" x14ac:dyDescent="0.25">
      <c r="G43" s="36"/>
      <c r="H43" s="44" t="s">
        <v>53</v>
      </c>
      <c r="I43" s="36">
        <v>20626</v>
      </c>
      <c r="J43" s="36"/>
      <c r="N43" s="36"/>
      <c r="O43" s="38">
        <v>95</v>
      </c>
      <c r="P43" s="39">
        <v>897</v>
      </c>
      <c r="Q43" s="39">
        <v>1098</v>
      </c>
      <c r="R43" s="38">
        <v>125</v>
      </c>
      <c r="S43" s="36"/>
    </row>
    <row r="44" spans="7:19" x14ac:dyDescent="0.25">
      <c r="G44" s="36"/>
      <c r="H44" s="44" t="s">
        <v>57</v>
      </c>
      <c r="I44" s="36">
        <v>10997</v>
      </c>
      <c r="J44" s="36"/>
      <c r="N44" s="36"/>
      <c r="O44" s="38">
        <v>249</v>
      </c>
      <c r="P44" s="39">
        <v>42</v>
      </c>
      <c r="Q44" s="39">
        <v>360</v>
      </c>
      <c r="R44" s="38">
        <v>549</v>
      </c>
      <c r="S44" s="36"/>
    </row>
    <row r="45" spans="7:19" x14ac:dyDescent="0.25">
      <c r="G45" s="36"/>
      <c r="H45" s="44" t="s">
        <v>73</v>
      </c>
      <c r="I45" s="36">
        <v>4082</v>
      </c>
      <c r="J45" s="36"/>
      <c r="N45" s="36"/>
      <c r="O45" s="38">
        <v>698</v>
      </c>
      <c r="P45" s="39">
        <v>358</v>
      </c>
      <c r="Q45" s="39">
        <v>1299</v>
      </c>
      <c r="R45" s="38">
        <v>65</v>
      </c>
      <c r="S45" s="36"/>
    </row>
    <row r="46" spans="7:19" x14ac:dyDescent="0.25">
      <c r="G46" s="36"/>
      <c r="H46" s="44" t="s">
        <v>65</v>
      </c>
      <c r="I46" s="36">
        <v>3645</v>
      </c>
      <c r="J46" s="36"/>
      <c r="N46" s="36"/>
      <c r="O46" s="38">
        <v>38</v>
      </c>
      <c r="P46" s="39">
        <v>220</v>
      </c>
      <c r="Q46" s="39">
        <v>4485</v>
      </c>
      <c r="R46" s="38">
        <v>1999</v>
      </c>
      <c r="S46" s="36"/>
    </row>
    <row r="47" spans="7:19" x14ac:dyDescent="0.25">
      <c r="G47" s="36"/>
      <c r="H47" s="44" t="s">
        <v>32</v>
      </c>
      <c r="I47" s="36">
        <v>3484</v>
      </c>
      <c r="J47" s="36"/>
      <c r="N47" s="36"/>
      <c r="O47" s="38">
        <v>149</v>
      </c>
      <c r="P47" s="39">
        <v>999</v>
      </c>
      <c r="Q47" s="39">
        <v>185</v>
      </c>
      <c r="R47" s="38">
        <v>298</v>
      </c>
      <c r="S47" s="36"/>
    </row>
    <row r="48" spans="7:19" x14ac:dyDescent="0.25">
      <c r="N48" s="36"/>
      <c r="O48" s="38">
        <v>79</v>
      </c>
      <c r="P48" s="39">
        <v>537</v>
      </c>
      <c r="Q48" s="39">
        <v>258</v>
      </c>
      <c r="R48" s="38">
        <v>88</v>
      </c>
      <c r="S48" s="36"/>
    </row>
    <row r="49" spans="14:19" x14ac:dyDescent="0.25">
      <c r="N49" s="36"/>
      <c r="O49" s="38">
        <v>349</v>
      </c>
      <c r="P49" s="39">
        <v>24</v>
      </c>
      <c r="Q49" s="39">
        <v>178</v>
      </c>
      <c r="R49" s="38">
        <v>399</v>
      </c>
      <c r="S49" s="36"/>
    </row>
    <row r="50" spans="14:19" x14ac:dyDescent="0.25">
      <c r="N50" s="36"/>
      <c r="O50" s="38">
        <v>498</v>
      </c>
      <c r="P50" s="39">
        <v>1098</v>
      </c>
      <c r="Q50" s="39">
        <v>1099</v>
      </c>
      <c r="R50" s="38">
        <v>95</v>
      </c>
      <c r="S50" s="36"/>
    </row>
    <row r="51" spans="14:19" x14ac:dyDescent="0.25">
      <c r="N51" s="36"/>
      <c r="O51" s="38">
        <v>125</v>
      </c>
      <c r="P51" s="39">
        <v>360</v>
      </c>
      <c r="Q51" s="39">
        <v>897</v>
      </c>
      <c r="R51" s="38">
        <v>249</v>
      </c>
      <c r="S51" s="36"/>
    </row>
    <row r="52" spans="14:19" x14ac:dyDescent="0.25">
      <c r="N52" s="36"/>
      <c r="O52" s="38">
        <v>549</v>
      </c>
      <c r="P52" s="39">
        <v>1299</v>
      </c>
      <c r="Q52" s="39">
        <v>42</v>
      </c>
      <c r="R52" s="38">
        <v>698</v>
      </c>
      <c r="S52" s="36"/>
    </row>
  </sheetData>
  <mergeCells count="7">
    <mergeCell ref="G40:J40"/>
    <mergeCell ref="J1:M1"/>
    <mergeCell ref="D4:H7"/>
    <mergeCell ref="B1:C1"/>
    <mergeCell ref="E1:F1"/>
    <mergeCell ref="E2:F2"/>
    <mergeCell ref="G1:H1"/>
  </mergeCells>
  <conditionalFormatting sqref="I41:I47">
    <cfRule type="iconSet" priority="1">
      <iconSet iconSet="3Arrows">
        <cfvo type="percent" val="0"/>
        <cfvo type="num" val="4885"/>
        <cfvo type="num" val="10997"/>
      </iconSet>
    </cfRule>
    <cfRule type="iconSet" priority="3">
      <iconSet iconSet="3Arrows">
        <cfvo type="percent" val="0"/>
        <cfvo type="percent" val="33"/>
        <cfvo type="percent" val="67"/>
      </iconSet>
    </cfRule>
  </conditionalFormatting>
  <conditionalFormatting sqref="V17:V29">
    <cfRule type="iconSet" priority="7">
      <iconSet iconSet="3Arrows">
        <cfvo type="percent" val="0"/>
        <cfvo type="num" val="4885"/>
        <cfvo type="num" val="10997"/>
      </iconSet>
    </cfRule>
    <cfRule type="iconSet" priority="9">
      <iconSet iconSet="3Arrows">
        <cfvo type="percent" val="0"/>
        <cfvo type="percent" val="33"/>
        <cfvo type="percent" val="67"/>
      </iconSet>
    </cfRule>
  </conditionalFormatting>
  <conditionalFormatting sqref="X17:X26">
    <cfRule type="iconSet" priority="11">
      <iconSet iconSet="3Arrows">
        <cfvo type="percent" val="0"/>
        <cfvo type="num" val="4885"/>
        <cfvo type="num" val="10997"/>
      </iconSet>
    </cfRule>
    <cfRule type="iconSet" priority="13">
      <iconSet iconSet="3Arrows">
        <cfvo type="percent" val="0"/>
        <cfvo type="percent" val="33"/>
        <cfvo type="percent" val="67"/>
      </iconSe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x14:cfRule type="iconSet" priority="2" id="{62E17332-90B7-411F-8EB2-E6FEFD01B223}">
            <x14:iconSet iconSet="3Arrows" custom="1">
              <x14:cfvo type="percent">
                <xm:f>0</xm:f>
              </x14:cfvo>
              <x14:cfvo type="num">
                <xm:f>4885</xm:f>
              </x14:cfvo>
              <x14:cfvo type="num">
                <xm:f>21504</xm:f>
              </x14:cfvo>
              <x14:cfIcon iconSet="3Arrows" iconId="0"/>
              <x14:cfIcon iconSet="3Arrows" iconId="1"/>
              <x14:cfIcon iconSet="3Arrows" iconId="2"/>
            </x14:iconSet>
          </x14:cfRule>
          <xm:sqref>I41:I47</xm:sqref>
        </x14:conditionalFormatting>
        <x14:conditionalFormatting xmlns:xm="http://schemas.microsoft.com/office/excel/2006/main">
          <x14:cfRule type="iconSet" priority="8" id="{2DD3EE73-1BB6-46BF-962F-B76B33594D39}">
            <x14:iconSet iconSet="3Arrows" custom="1">
              <x14:cfvo type="percent">
                <xm:f>0</xm:f>
              </x14:cfvo>
              <x14:cfvo type="num">
                <xm:f>4885</xm:f>
              </x14:cfvo>
              <x14:cfvo type="num">
                <xm:f>21504</xm:f>
              </x14:cfvo>
              <x14:cfIcon iconSet="3Arrows" iconId="0"/>
              <x14:cfIcon iconSet="3Arrows" iconId="1"/>
              <x14:cfIcon iconSet="3Arrows" iconId="2"/>
            </x14:iconSet>
          </x14:cfRule>
          <xm:sqref>V17:V29</xm:sqref>
        </x14:conditionalFormatting>
        <x14:conditionalFormatting xmlns:xm="http://schemas.microsoft.com/office/excel/2006/main">
          <x14:cfRule type="iconSet" priority="12" id="{09EC34F7-2A34-47D8-A4B0-F75F93360097}">
            <x14:iconSet iconSet="3Arrows" custom="1">
              <x14:cfvo type="percent">
                <xm:f>0</xm:f>
              </x14:cfvo>
              <x14:cfvo type="num">
                <xm:f>4885</xm:f>
              </x14:cfvo>
              <x14:cfvo type="num">
                <xm:f>21504</xm:f>
              </x14:cfvo>
              <x14:cfIcon iconSet="3Arrows" iconId="0"/>
              <x14:cfIcon iconSet="3Arrows" iconId="1"/>
              <x14:cfIcon iconSet="3Arrows" iconId="2"/>
            </x14:iconSet>
          </x14:cfRule>
          <xm:sqref>X17:X26</xm:sqref>
        </x14:conditionalFormatting>
      </x14:conditionalFormattings>
    </ext>
    <ext xmlns:x14="http://schemas.microsoft.com/office/spreadsheetml/2009/9/main" uri="{A8765BA9-456A-4dab-B4F3-ACF838C121DE}">
      <x14:slicerList>
        <x14:slicer r:id="rId6"/>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7F894-9E5D-41B8-9E50-158D836C5100}">
  <dimension ref="D1:Y22"/>
  <sheetViews>
    <sheetView showGridLines="0" showRowColHeaders="0" zoomScaleNormal="100" workbookViewId="0">
      <selection activeCell="C9" sqref="C9"/>
    </sheetView>
  </sheetViews>
  <sheetFormatPr defaultRowHeight="15" x14ac:dyDescent="0.25"/>
  <cols>
    <col min="21" max="21" width="14.140625" customWidth="1"/>
    <col min="22" max="22" width="27.85546875" customWidth="1"/>
    <col min="23" max="23" width="11.5703125" customWidth="1"/>
    <col min="24" max="24" width="11.42578125" customWidth="1"/>
  </cols>
  <sheetData>
    <row r="1" spans="4:25" ht="36.75" customHeight="1" x14ac:dyDescent="0.25">
      <c r="D1" s="99" t="s">
        <v>675</v>
      </c>
      <c r="E1" s="99"/>
      <c r="F1" s="99"/>
      <c r="G1" s="99"/>
      <c r="H1" s="99"/>
      <c r="I1" s="99"/>
      <c r="J1" s="99"/>
      <c r="K1" s="99"/>
      <c r="L1" s="99"/>
      <c r="M1" s="99"/>
      <c r="N1" s="99"/>
      <c r="O1" s="99"/>
      <c r="P1" s="99"/>
      <c r="Q1" s="99"/>
      <c r="R1" s="99"/>
      <c r="S1" s="99"/>
      <c r="T1" s="99"/>
      <c r="U1" s="99"/>
      <c r="V1" s="57" t="s">
        <v>375</v>
      </c>
      <c r="W1" s="47"/>
      <c r="X1" s="47"/>
    </row>
    <row r="2" spans="4:25" ht="40.5" customHeight="1" x14ac:dyDescent="0.25">
      <c r="E2" s="52"/>
      <c r="F2" s="52"/>
      <c r="G2" s="52"/>
      <c r="H2" s="52"/>
      <c r="I2" s="52"/>
      <c r="J2" s="52"/>
      <c r="K2" s="52"/>
      <c r="L2" s="52"/>
      <c r="M2" s="52"/>
      <c r="N2" s="52"/>
      <c r="O2" s="52"/>
      <c r="P2" s="52"/>
      <c r="Q2" s="52"/>
      <c r="R2" s="52"/>
      <c r="S2" s="52"/>
      <c r="T2" s="52"/>
      <c r="U2" s="52"/>
      <c r="V2" s="61">
        <f>'Dashboard Pivot tables'!A2</f>
        <v>115223</v>
      </c>
      <c r="W2" s="47"/>
      <c r="X2" s="47"/>
    </row>
    <row r="3" spans="4:25" ht="26.25" customHeight="1" x14ac:dyDescent="0.25">
      <c r="E3" s="46"/>
      <c r="F3" s="46"/>
      <c r="G3" s="46"/>
      <c r="H3" s="46"/>
      <c r="I3" s="46"/>
      <c r="J3" s="46"/>
      <c r="K3" s="46"/>
      <c r="L3" s="46"/>
      <c r="M3" s="46"/>
      <c r="N3" s="46"/>
      <c r="O3" s="46"/>
      <c r="P3" s="46"/>
      <c r="Q3" s="46"/>
      <c r="R3" s="46"/>
      <c r="S3" s="46"/>
      <c r="T3" s="46"/>
      <c r="U3" s="46"/>
      <c r="V3" s="57" t="s">
        <v>657</v>
      </c>
      <c r="W3" s="47"/>
    </row>
    <row r="4" spans="4:25" ht="22.5" customHeight="1" x14ac:dyDescent="0.25">
      <c r="V4" s="62">
        <f>'Dashboard Pivot tables'!E2</f>
        <v>300</v>
      </c>
      <c r="W4" s="48"/>
    </row>
    <row r="5" spans="4:25" ht="24" customHeight="1" x14ac:dyDescent="0.25">
      <c r="D5" s="49"/>
      <c r="V5" s="57" t="s">
        <v>658</v>
      </c>
      <c r="W5" s="49"/>
    </row>
    <row r="6" spans="4:25" ht="27.75" customHeight="1" x14ac:dyDescent="0.25">
      <c r="D6" s="49"/>
      <c r="V6" s="58" t="s">
        <v>659</v>
      </c>
      <c r="W6" s="49"/>
    </row>
    <row r="7" spans="4:25" ht="24" customHeight="1" x14ac:dyDescent="0.25">
      <c r="D7" s="49"/>
      <c r="V7" s="57" t="s">
        <v>660</v>
      </c>
      <c r="W7" s="49"/>
    </row>
    <row r="8" spans="4:25" ht="22.5" customHeight="1" x14ac:dyDescent="0.25">
      <c r="D8" s="49"/>
      <c r="V8" s="59" t="s">
        <v>668</v>
      </c>
      <c r="W8" s="50"/>
    </row>
    <row r="9" spans="4:25" ht="17.25" customHeight="1" x14ac:dyDescent="0.25">
      <c r="D9" s="49"/>
      <c r="V9" s="59" t="s">
        <v>672</v>
      </c>
      <c r="W9" s="50"/>
    </row>
    <row r="10" spans="4:25" ht="21" customHeight="1" x14ac:dyDescent="0.25">
      <c r="D10" s="49"/>
      <c r="V10" s="59" t="s">
        <v>671</v>
      </c>
      <c r="W10" s="50"/>
    </row>
    <row r="11" spans="4:25" ht="21.75" customHeight="1" x14ac:dyDescent="0.25">
      <c r="D11" s="49"/>
      <c r="V11" s="59" t="s">
        <v>670</v>
      </c>
      <c r="W11" s="50"/>
    </row>
    <row r="12" spans="4:25" ht="25.5" customHeight="1" x14ac:dyDescent="0.25">
      <c r="D12" s="49"/>
      <c r="V12" s="59" t="s">
        <v>669</v>
      </c>
      <c r="W12" s="50"/>
    </row>
    <row r="13" spans="4:25" ht="24" customHeight="1" x14ac:dyDescent="0.25">
      <c r="D13" s="49"/>
      <c r="V13" s="53" t="s">
        <v>673</v>
      </c>
      <c r="W13" s="49"/>
    </row>
    <row r="14" spans="4:25" ht="24" customHeight="1" x14ac:dyDescent="0.25">
      <c r="V14" s="60" t="s">
        <v>674</v>
      </c>
      <c r="W14" s="46"/>
      <c r="X14" s="46"/>
      <c r="Y14" s="46"/>
    </row>
    <row r="15" spans="4:25" ht="22.5" customHeight="1" x14ac:dyDescent="0.25">
      <c r="V15" s="54" t="s">
        <v>661</v>
      </c>
      <c r="W15" s="51"/>
    </row>
    <row r="16" spans="4:25" ht="21.75" customHeight="1" x14ac:dyDescent="0.25">
      <c r="V16" s="55" t="s">
        <v>662</v>
      </c>
      <c r="W16" s="49"/>
    </row>
    <row r="17" spans="22:23" ht="19.5" customHeight="1" x14ac:dyDescent="0.25">
      <c r="V17" s="55" t="s">
        <v>663</v>
      </c>
      <c r="W17" s="49"/>
    </row>
    <row r="18" spans="22:23" ht="21.75" customHeight="1" x14ac:dyDescent="0.25">
      <c r="V18" s="55" t="s">
        <v>664</v>
      </c>
      <c r="W18" s="49"/>
    </row>
    <row r="19" spans="22:23" ht="22.5" customHeight="1" x14ac:dyDescent="0.25">
      <c r="V19" s="56" t="s">
        <v>665</v>
      </c>
      <c r="W19" s="49"/>
    </row>
    <row r="20" spans="22:23" ht="23.25" customHeight="1" x14ac:dyDescent="0.25">
      <c r="V20" s="56" t="s">
        <v>666</v>
      </c>
      <c r="W20" s="49"/>
    </row>
    <row r="21" spans="22:23" ht="22.5" customHeight="1" x14ac:dyDescent="0.25">
      <c r="V21" s="56" t="s">
        <v>667</v>
      </c>
      <c r="W21" s="49"/>
    </row>
    <row r="22" spans="22:23" x14ac:dyDescent="0.25">
      <c r="W22" s="49"/>
    </row>
  </sheetData>
  <mergeCells count="1">
    <mergeCell ref="D1:U1"/>
  </mergeCells>
  <conditionalFormatting sqref="V16:V21">
    <cfRule type="iconSet" priority="1">
      <iconSet iconSet="3Arrows">
        <cfvo type="percent" val="0"/>
        <cfvo type="percent" val="33"/>
        <cfvo type="percent" val="67"/>
      </iconSet>
    </cfRule>
  </conditionalFormatting>
  <conditionalFormatting sqref="W15:W21">
    <cfRule type="iconSet" priority="3">
      <iconSet iconSet="3Arrows">
        <cfvo type="percent" val="0"/>
        <cfvo type="num" val="4885"/>
        <cfvo type="num" val="10997"/>
      </iconSet>
    </cfRule>
    <cfRule type="iconSet" priority="5">
      <iconSet iconSet="3Arrows">
        <cfvo type="percent" val="0"/>
        <cfvo type="percent" val="33"/>
        <cfvo type="percent" val="67"/>
      </iconSe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iconSet" priority="4" id="{B9D3F9EE-3B16-459B-8BF0-AD6EB147A456}">
            <x14:iconSet iconSet="3Arrows" custom="1">
              <x14:cfvo type="percent">
                <xm:f>0</xm:f>
              </x14:cfvo>
              <x14:cfvo type="num">
                <xm:f>4885</xm:f>
              </x14:cfvo>
              <x14:cfvo type="num">
                <xm:f>21504</xm:f>
              </x14:cfvo>
              <x14:cfIcon iconSet="3Arrows" iconId="0"/>
              <x14:cfIcon iconSet="3Arrows" iconId="1"/>
              <x14:cfIcon iconSet="3Arrows" iconId="2"/>
            </x14:iconSet>
          </x14:cfRule>
          <xm:sqref>W15:W21</xm:sqref>
        </x14:conditionalFormatting>
      </x14:conditionalFormattings>
    </ex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EC4FD-31FD-493F-8F01-3F6601F75F45}">
  <dimension ref="A1"/>
  <sheetViews>
    <sheetView showGridLines="0" showRowColHeaders="0" workbookViewId="0">
      <selection activeCell="M32" sqref="M32"/>
    </sheetView>
  </sheetViews>
  <sheetFormatPr defaultRowHeight="15" x14ac:dyDescent="0.2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48"/>
  <sheetViews>
    <sheetView topLeftCell="A21" workbookViewId="0">
      <selection activeCell="C50" sqref="C50"/>
    </sheetView>
  </sheetViews>
  <sheetFormatPr defaultRowHeight="15" x14ac:dyDescent="0.25"/>
  <cols>
    <col min="1" max="1" width="14" customWidth="1"/>
    <col min="2" max="2" width="32" customWidth="1"/>
    <col min="3" max="3" width="22" customWidth="1"/>
    <col min="4" max="4" width="18" customWidth="1"/>
    <col min="5" max="5" width="14" customWidth="1"/>
    <col min="6" max="6" width="12" customWidth="1"/>
  </cols>
  <sheetData>
    <row r="1" spans="1:28" ht="26.1" customHeight="1" x14ac:dyDescent="0.25">
      <c r="A1" s="63" t="s">
        <v>505</v>
      </c>
      <c r="B1" s="64"/>
      <c r="C1" s="64"/>
      <c r="D1" s="64"/>
      <c r="E1" s="64"/>
      <c r="F1" s="64"/>
      <c r="H1" s="100"/>
      <c r="I1" s="100"/>
      <c r="J1" s="100"/>
      <c r="K1" s="100"/>
      <c r="L1" s="100"/>
      <c r="M1" s="100"/>
      <c r="N1" s="100"/>
      <c r="O1" s="100"/>
      <c r="P1" s="100"/>
      <c r="Q1" s="100"/>
      <c r="R1" s="100"/>
      <c r="S1" s="100"/>
      <c r="T1" s="100"/>
      <c r="U1" s="100"/>
      <c r="V1" s="100"/>
      <c r="W1" s="100"/>
      <c r="X1" s="100"/>
      <c r="Y1" s="100"/>
      <c r="Z1" s="100"/>
      <c r="AA1" s="100"/>
      <c r="AB1" s="100"/>
    </row>
    <row r="2" spans="1:28" ht="28.5" customHeight="1" x14ac:dyDescent="0.25">
      <c r="A2" s="67" t="s">
        <v>506</v>
      </c>
      <c r="B2" s="64"/>
      <c r="C2" s="64"/>
      <c r="D2" s="64"/>
      <c r="E2" s="64"/>
      <c r="F2" s="64"/>
      <c r="H2" s="100"/>
      <c r="I2" s="100"/>
      <c r="J2" s="100"/>
      <c r="K2" s="100"/>
      <c r="L2" s="100"/>
      <c r="M2" s="100"/>
      <c r="N2" s="100"/>
      <c r="O2" s="100"/>
      <c r="P2" s="100"/>
      <c r="Q2" s="100"/>
      <c r="R2" s="100"/>
      <c r="S2" s="100"/>
      <c r="T2" s="100"/>
      <c r="U2" s="100"/>
      <c r="V2" s="100"/>
      <c r="W2" s="100"/>
      <c r="X2" s="100"/>
      <c r="Y2" s="100"/>
      <c r="Z2" s="100"/>
      <c r="AA2" s="100"/>
      <c r="AB2" s="100"/>
    </row>
    <row r="3" spans="1:28" x14ac:dyDescent="0.25">
      <c r="H3" s="100"/>
      <c r="I3" s="100"/>
      <c r="J3" s="100"/>
      <c r="K3" s="100"/>
      <c r="L3" s="100"/>
      <c r="M3" s="100"/>
      <c r="N3" s="100"/>
      <c r="O3" s="100"/>
      <c r="P3" s="100"/>
      <c r="Q3" s="100"/>
      <c r="R3" s="100"/>
      <c r="S3" s="100"/>
      <c r="T3" s="100"/>
      <c r="U3" s="100"/>
      <c r="V3" s="100"/>
      <c r="W3" s="100"/>
      <c r="X3" s="100"/>
      <c r="Y3" s="100"/>
      <c r="Z3" s="100"/>
      <c r="AA3" s="100"/>
      <c r="AB3" s="100"/>
    </row>
    <row r="4" spans="1:28" ht="20.100000000000001" customHeight="1" x14ac:dyDescent="0.25">
      <c r="A4" s="72" t="s">
        <v>507</v>
      </c>
      <c r="B4" s="64"/>
      <c r="C4" s="64"/>
      <c r="D4" s="64"/>
      <c r="E4" s="64"/>
      <c r="F4" s="64"/>
      <c r="H4" s="100"/>
      <c r="I4" s="100"/>
      <c r="J4" s="100"/>
      <c r="K4" s="100"/>
      <c r="L4" s="100"/>
      <c r="M4" s="100"/>
      <c r="N4" s="100"/>
      <c r="O4" s="100"/>
      <c r="P4" s="100"/>
      <c r="Q4" s="100"/>
      <c r="R4" s="100"/>
      <c r="S4" s="100"/>
      <c r="T4" s="100"/>
      <c r="U4" s="100"/>
      <c r="V4" s="100"/>
      <c r="W4" s="100"/>
      <c r="X4" s="100"/>
      <c r="Y4" s="100"/>
      <c r="Z4" s="100"/>
      <c r="AA4" s="100"/>
      <c r="AB4" s="100"/>
    </row>
    <row r="5" spans="1:28" ht="15.95" customHeight="1" x14ac:dyDescent="0.25">
      <c r="A5" s="78" t="s">
        <v>508</v>
      </c>
      <c r="B5" s="64"/>
      <c r="C5" s="64"/>
      <c r="D5" s="64"/>
      <c r="E5" s="64"/>
      <c r="F5" s="64"/>
      <c r="H5" s="100"/>
      <c r="I5" s="100"/>
      <c r="J5" s="100"/>
      <c r="K5" s="100"/>
      <c r="L5" s="100"/>
      <c r="M5" s="100"/>
      <c r="N5" s="100"/>
      <c r="O5" s="100"/>
      <c r="P5" s="100"/>
      <c r="Q5" s="100"/>
      <c r="R5" s="100"/>
      <c r="S5" s="100"/>
      <c r="T5" s="100"/>
      <c r="U5" s="100"/>
      <c r="V5" s="100"/>
      <c r="W5" s="100"/>
      <c r="X5" s="100"/>
      <c r="Y5" s="100"/>
      <c r="Z5" s="100"/>
      <c r="AA5" s="100"/>
      <c r="AB5" s="100"/>
    </row>
    <row r="6" spans="1:28" ht="15.95" customHeight="1" x14ac:dyDescent="0.25">
      <c r="A6" s="77" t="s">
        <v>509</v>
      </c>
      <c r="B6" s="64"/>
      <c r="C6" s="64"/>
      <c r="D6" s="64"/>
      <c r="E6" s="64"/>
      <c r="F6" s="64"/>
      <c r="H6" s="100"/>
      <c r="I6" s="100"/>
      <c r="J6" s="100"/>
      <c r="K6" s="100"/>
      <c r="L6" s="100"/>
      <c r="M6" s="100"/>
      <c r="N6" s="100"/>
      <c r="O6" s="100"/>
      <c r="P6" s="100"/>
      <c r="Q6" s="100"/>
      <c r="R6" s="100"/>
      <c r="S6" s="100"/>
      <c r="T6" s="100"/>
      <c r="U6" s="100"/>
      <c r="V6" s="100"/>
      <c r="W6" s="100"/>
      <c r="X6" s="100"/>
      <c r="Y6" s="100"/>
      <c r="Z6" s="100"/>
      <c r="AA6" s="100"/>
      <c r="AB6" s="100"/>
    </row>
    <row r="7" spans="1:28" ht="15.95" customHeight="1" x14ac:dyDescent="0.25">
      <c r="A7" s="78" t="s">
        <v>510</v>
      </c>
      <c r="B7" s="64"/>
      <c r="C7" s="64"/>
      <c r="D7" s="64"/>
      <c r="E7" s="64"/>
      <c r="F7" s="64"/>
      <c r="H7" s="100"/>
      <c r="I7" s="100"/>
      <c r="J7" s="100"/>
      <c r="K7" s="100"/>
      <c r="L7" s="100"/>
      <c r="M7" s="100"/>
      <c r="N7" s="100"/>
      <c r="O7" s="100"/>
      <c r="P7" s="100"/>
      <c r="Q7" s="100"/>
      <c r="R7" s="100"/>
      <c r="S7" s="100"/>
      <c r="T7" s="100"/>
      <c r="U7" s="100"/>
      <c r="V7" s="100"/>
      <c r="W7" s="100"/>
      <c r="X7" s="100"/>
      <c r="Y7" s="100"/>
      <c r="Z7" s="100"/>
      <c r="AA7" s="100"/>
      <c r="AB7" s="100"/>
    </row>
    <row r="8" spans="1:28" ht="15.95" customHeight="1" x14ac:dyDescent="0.25">
      <c r="A8" s="77" t="s">
        <v>511</v>
      </c>
      <c r="B8" s="64"/>
      <c r="C8" s="64"/>
      <c r="D8" s="64"/>
      <c r="E8" s="64"/>
      <c r="F8" s="64"/>
      <c r="H8" s="100"/>
      <c r="I8" s="100"/>
      <c r="J8" s="100"/>
      <c r="K8" s="100"/>
      <c r="L8" s="100"/>
      <c r="M8" s="100"/>
      <c r="N8" s="100"/>
      <c r="O8" s="100"/>
      <c r="P8" s="100"/>
      <c r="Q8" s="100"/>
      <c r="R8" s="100"/>
      <c r="S8" s="100"/>
      <c r="T8" s="100"/>
      <c r="U8" s="100"/>
      <c r="V8" s="100"/>
      <c r="W8" s="100"/>
      <c r="X8" s="100"/>
      <c r="Y8" s="100"/>
      <c r="Z8" s="100"/>
      <c r="AA8" s="100"/>
      <c r="AB8" s="100"/>
    </row>
    <row r="9" spans="1:28" ht="15.95" customHeight="1" x14ac:dyDescent="0.25">
      <c r="A9" s="78" t="s">
        <v>512</v>
      </c>
      <c r="B9" s="64"/>
      <c r="C9" s="64"/>
      <c r="D9" s="64"/>
      <c r="E9" s="64"/>
      <c r="F9" s="64"/>
      <c r="H9" s="100"/>
      <c r="I9" s="100"/>
      <c r="J9" s="100"/>
      <c r="K9" s="100"/>
      <c r="L9" s="100"/>
      <c r="M9" s="100"/>
      <c r="N9" s="100"/>
      <c r="O9" s="100"/>
      <c r="P9" s="100"/>
      <c r="Q9" s="100"/>
      <c r="R9" s="100"/>
      <c r="S9" s="100"/>
      <c r="T9" s="100"/>
      <c r="U9" s="100"/>
      <c r="V9" s="100"/>
      <c r="W9" s="100"/>
      <c r="X9" s="100"/>
      <c r="Y9" s="100"/>
      <c r="Z9" s="100"/>
      <c r="AA9" s="100"/>
      <c r="AB9" s="100"/>
    </row>
    <row r="10" spans="1:28" x14ac:dyDescent="0.25">
      <c r="H10" s="100"/>
      <c r="I10" s="100"/>
      <c r="J10" s="100"/>
      <c r="K10" s="100"/>
      <c r="L10" s="100"/>
      <c r="M10" s="100"/>
      <c r="N10" s="100"/>
      <c r="O10" s="100"/>
      <c r="P10" s="100"/>
      <c r="Q10" s="100"/>
      <c r="R10" s="100"/>
      <c r="S10" s="100"/>
      <c r="T10" s="100"/>
      <c r="U10" s="100"/>
      <c r="V10" s="100"/>
      <c r="W10" s="100"/>
      <c r="X10" s="100"/>
      <c r="Y10" s="100"/>
      <c r="Z10" s="100"/>
      <c r="AA10" s="100"/>
      <c r="AB10" s="100"/>
    </row>
    <row r="11" spans="1:28" ht="20.100000000000001" customHeight="1" x14ac:dyDescent="0.25">
      <c r="A11" s="72" t="s">
        <v>513</v>
      </c>
      <c r="B11" s="64"/>
      <c r="C11" s="64"/>
      <c r="D11" s="64"/>
      <c r="E11" s="64"/>
      <c r="F11" s="64"/>
      <c r="H11" s="100"/>
      <c r="I11" s="100"/>
      <c r="J11" s="100"/>
      <c r="K11" s="100"/>
      <c r="L11" s="100"/>
      <c r="M11" s="100"/>
      <c r="N11" s="100"/>
      <c r="O11" s="100"/>
      <c r="P11" s="100"/>
      <c r="Q11" s="100"/>
      <c r="R11" s="100"/>
      <c r="S11" s="100"/>
      <c r="T11" s="100"/>
      <c r="U11" s="100"/>
      <c r="V11" s="100"/>
      <c r="W11" s="100"/>
      <c r="X11" s="100"/>
      <c r="Y11" s="100"/>
      <c r="Z11" s="100"/>
      <c r="AA11" s="100"/>
      <c r="AB11" s="100"/>
    </row>
    <row r="12" spans="1:28" ht="20.100000000000001" customHeight="1" x14ac:dyDescent="0.25">
      <c r="A12" s="65" t="s">
        <v>514</v>
      </c>
      <c r="B12" s="64"/>
      <c r="C12" s="64"/>
      <c r="D12" s="64"/>
      <c r="E12" s="64"/>
      <c r="F12" s="64"/>
      <c r="H12" s="100"/>
      <c r="I12" s="100"/>
      <c r="J12" s="100"/>
      <c r="K12" s="100"/>
      <c r="L12" s="100"/>
      <c r="M12" s="100"/>
      <c r="N12" s="100"/>
      <c r="O12" s="100"/>
      <c r="P12" s="100"/>
      <c r="Q12" s="100"/>
      <c r="R12" s="100"/>
      <c r="S12" s="100"/>
      <c r="T12" s="100"/>
      <c r="U12" s="100"/>
      <c r="V12" s="100"/>
      <c r="W12" s="100"/>
      <c r="X12" s="100"/>
      <c r="Y12" s="100"/>
      <c r="Z12" s="100"/>
      <c r="AA12" s="100"/>
      <c r="AB12" s="100"/>
    </row>
    <row r="13" spans="1:28" ht="26.1" customHeight="1" x14ac:dyDescent="0.25">
      <c r="A13" s="9" t="s">
        <v>434</v>
      </c>
      <c r="B13" s="79" t="s">
        <v>515</v>
      </c>
      <c r="C13" s="64"/>
      <c r="D13" s="64"/>
      <c r="E13" s="64"/>
      <c r="F13" s="64"/>
      <c r="H13" s="100"/>
      <c r="I13" s="100"/>
      <c r="J13" s="100"/>
      <c r="K13" s="100"/>
      <c r="L13" s="100"/>
      <c r="M13" s="100"/>
      <c r="N13" s="100"/>
      <c r="O13" s="100"/>
      <c r="P13" s="100"/>
      <c r="Q13" s="100"/>
      <c r="R13" s="100"/>
      <c r="S13" s="100"/>
      <c r="T13" s="100"/>
      <c r="U13" s="100"/>
      <c r="V13" s="100"/>
      <c r="W13" s="100"/>
      <c r="X13" s="100"/>
      <c r="Y13" s="100"/>
      <c r="Z13" s="100"/>
      <c r="AA13" s="100"/>
      <c r="AB13" s="100"/>
    </row>
    <row r="14" spans="1:28" ht="26.1" customHeight="1" x14ac:dyDescent="0.25">
      <c r="A14" s="9" t="s">
        <v>516</v>
      </c>
      <c r="B14" s="102" t="s">
        <v>517</v>
      </c>
      <c r="C14" s="64"/>
      <c r="D14" s="64"/>
      <c r="E14" s="64"/>
      <c r="F14" s="64"/>
      <c r="H14" s="100"/>
      <c r="I14" s="100"/>
      <c r="J14" s="100"/>
      <c r="K14" s="100"/>
      <c r="L14" s="100"/>
      <c r="M14" s="100"/>
      <c r="N14" s="100"/>
      <c r="O14" s="100"/>
      <c r="P14" s="100"/>
      <c r="Q14" s="100"/>
      <c r="R14" s="100"/>
      <c r="S14" s="100"/>
      <c r="T14" s="100"/>
      <c r="U14" s="100"/>
      <c r="V14" s="100"/>
      <c r="W14" s="100"/>
      <c r="X14" s="100"/>
      <c r="Y14" s="100"/>
      <c r="Z14" s="100"/>
      <c r="AA14" s="100"/>
      <c r="AB14" s="100"/>
    </row>
    <row r="15" spans="1:28" ht="26.1" customHeight="1" x14ac:dyDescent="0.25">
      <c r="A15" s="9" t="s">
        <v>518</v>
      </c>
      <c r="B15" s="101" t="s">
        <v>519</v>
      </c>
      <c r="C15" s="64"/>
      <c r="D15" s="64"/>
      <c r="E15" s="64"/>
      <c r="F15" s="64"/>
      <c r="H15" s="100"/>
      <c r="I15" s="100"/>
      <c r="J15" s="100"/>
      <c r="K15" s="100"/>
      <c r="L15" s="100"/>
      <c r="M15" s="100"/>
      <c r="N15" s="100"/>
      <c r="O15" s="100"/>
      <c r="P15" s="100"/>
      <c r="Q15" s="100"/>
      <c r="R15" s="100"/>
      <c r="S15" s="100"/>
      <c r="T15" s="100"/>
      <c r="U15" s="100"/>
      <c r="V15" s="100"/>
      <c r="W15" s="100"/>
      <c r="X15" s="100"/>
      <c r="Y15" s="100"/>
      <c r="Z15" s="100"/>
      <c r="AA15" s="100"/>
      <c r="AB15" s="100"/>
    </row>
    <row r="16" spans="1:28" x14ac:dyDescent="0.25">
      <c r="H16" s="100"/>
      <c r="I16" s="100"/>
      <c r="J16" s="100"/>
      <c r="K16" s="100"/>
      <c r="L16" s="100"/>
      <c r="M16" s="100"/>
      <c r="N16" s="100"/>
      <c r="O16" s="100"/>
      <c r="P16" s="100"/>
      <c r="Q16" s="100"/>
      <c r="R16" s="100"/>
      <c r="S16" s="100"/>
      <c r="T16" s="100"/>
      <c r="U16" s="100"/>
      <c r="V16" s="100"/>
      <c r="W16" s="100"/>
      <c r="X16" s="100"/>
      <c r="Y16" s="100"/>
      <c r="Z16" s="100"/>
      <c r="AA16" s="100"/>
      <c r="AB16" s="100"/>
    </row>
    <row r="17" spans="1:28" ht="20.100000000000001" customHeight="1" x14ac:dyDescent="0.25">
      <c r="A17" s="65" t="s">
        <v>520</v>
      </c>
      <c r="B17" s="64"/>
      <c r="C17" s="64"/>
      <c r="D17" s="64"/>
      <c r="E17" s="64"/>
      <c r="F17" s="64"/>
      <c r="H17" s="100"/>
      <c r="I17" s="100"/>
      <c r="J17" s="100"/>
      <c r="K17" s="100"/>
      <c r="L17" s="100"/>
      <c r="M17" s="100"/>
      <c r="N17" s="100"/>
      <c r="O17" s="100"/>
      <c r="P17" s="100"/>
      <c r="Q17" s="100"/>
      <c r="R17" s="100"/>
      <c r="S17" s="100"/>
      <c r="T17" s="100"/>
      <c r="U17" s="100"/>
      <c r="V17" s="100"/>
      <c r="W17" s="100"/>
      <c r="X17" s="100"/>
      <c r="Y17" s="100"/>
      <c r="Z17" s="100"/>
      <c r="AA17" s="100"/>
      <c r="AB17" s="100"/>
    </row>
    <row r="18" spans="1:28" ht="26.1" customHeight="1" x14ac:dyDescent="0.25">
      <c r="A18" s="9" t="s">
        <v>434</v>
      </c>
      <c r="B18" s="79" t="s">
        <v>521</v>
      </c>
      <c r="C18" s="64"/>
      <c r="D18" s="64"/>
      <c r="E18" s="64"/>
      <c r="F18" s="64"/>
      <c r="H18" s="100"/>
      <c r="I18" s="100"/>
      <c r="J18" s="100"/>
      <c r="K18" s="100"/>
      <c r="L18" s="100"/>
      <c r="M18" s="100"/>
      <c r="N18" s="100"/>
      <c r="O18" s="100"/>
      <c r="P18" s="100"/>
      <c r="Q18" s="100"/>
      <c r="R18" s="100"/>
      <c r="S18" s="100"/>
      <c r="T18" s="100"/>
      <c r="U18" s="100"/>
      <c r="V18" s="100"/>
      <c r="W18" s="100"/>
      <c r="X18" s="100"/>
      <c r="Y18" s="100"/>
      <c r="Z18" s="100"/>
      <c r="AA18" s="100"/>
      <c r="AB18" s="100"/>
    </row>
    <row r="19" spans="1:28" ht="26.1" customHeight="1" x14ac:dyDescent="0.25">
      <c r="A19" s="9" t="s">
        <v>516</v>
      </c>
      <c r="B19" s="102" t="s">
        <v>522</v>
      </c>
      <c r="C19" s="64"/>
      <c r="D19" s="64"/>
      <c r="E19" s="64"/>
      <c r="F19" s="64"/>
      <c r="H19" s="100"/>
      <c r="I19" s="100"/>
      <c r="J19" s="100"/>
      <c r="K19" s="100"/>
      <c r="L19" s="100"/>
      <c r="M19" s="100"/>
      <c r="N19" s="100"/>
      <c r="O19" s="100"/>
      <c r="P19" s="100"/>
      <c r="Q19" s="100"/>
      <c r="R19" s="100"/>
      <c r="S19" s="100"/>
      <c r="T19" s="100"/>
      <c r="U19" s="100"/>
      <c r="V19" s="100"/>
      <c r="W19" s="100"/>
      <c r="X19" s="100"/>
      <c r="Y19" s="100"/>
      <c r="Z19" s="100"/>
      <c r="AA19" s="100"/>
      <c r="AB19" s="100"/>
    </row>
    <row r="20" spans="1:28" ht="26.1" customHeight="1" x14ac:dyDescent="0.25">
      <c r="A20" s="9" t="s">
        <v>518</v>
      </c>
      <c r="B20" s="101" t="s">
        <v>523</v>
      </c>
      <c r="C20" s="64"/>
      <c r="D20" s="64"/>
      <c r="E20" s="64"/>
      <c r="F20" s="64"/>
      <c r="H20" s="100"/>
      <c r="I20" s="100"/>
      <c r="J20" s="100"/>
      <c r="K20" s="100"/>
      <c r="L20" s="100"/>
      <c r="M20" s="100"/>
      <c r="N20" s="100"/>
      <c r="O20" s="100"/>
      <c r="P20" s="100"/>
      <c r="Q20" s="100"/>
      <c r="R20" s="100"/>
      <c r="S20" s="100"/>
      <c r="T20" s="100"/>
      <c r="U20" s="100"/>
      <c r="V20" s="100"/>
      <c r="W20" s="100"/>
      <c r="X20" s="100"/>
      <c r="Y20" s="100"/>
      <c r="Z20" s="100"/>
      <c r="AA20" s="100"/>
      <c r="AB20" s="100"/>
    </row>
    <row r="21" spans="1:28" x14ac:dyDescent="0.25">
      <c r="H21" s="100"/>
      <c r="I21" s="100"/>
      <c r="J21" s="100"/>
      <c r="K21" s="100"/>
      <c r="L21" s="100"/>
      <c r="M21" s="100"/>
      <c r="N21" s="100"/>
      <c r="O21" s="100"/>
      <c r="P21" s="100"/>
      <c r="Q21" s="100"/>
      <c r="R21" s="100"/>
      <c r="S21" s="100"/>
      <c r="T21" s="100"/>
      <c r="U21" s="100"/>
      <c r="V21" s="100"/>
      <c r="W21" s="100"/>
      <c r="X21" s="100"/>
      <c r="Y21" s="100"/>
      <c r="Z21" s="100"/>
      <c r="AA21" s="100"/>
      <c r="AB21" s="100"/>
    </row>
    <row r="22" spans="1:28" ht="20.100000000000001" customHeight="1" x14ac:dyDescent="0.25">
      <c r="A22" s="65" t="s">
        <v>524</v>
      </c>
      <c r="B22" s="64"/>
      <c r="C22" s="64"/>
      <c r="D22" s="64"/>
      <c r="E22" s="64"/>
      <c r="F22" s="64"/>
      <c r="H22" s="100"/>
      <c r="I22" s="100"/>
      <c r="J22" s="100"/>
      <c r="K22" s="100"/>
      <c r="L22" s="100"/>
      <c r="M22" s="100"/>
      <c r="N22" s="100"/>
      <c r="O22" s="100"/>
      <c r="P22" s="100"/>
      <c r="Q22" s="100"/>
      <c r="R22" s="100"/>
      <c r="S22" s="100"/>
      <c r="T22" s="100"/>
      <c r="U22" s="100"/>
      <c r="V22" s="100"/>
      <c r="W22" s="100"/>
      <c r="X22" s="100"/>
      <c r="Y22" s="100"/>
      <c r="Z22" s="100"/>
      <c r="AA22" s="100"/>
      <c r="AB22" s="100"/>
    </row>
    <row r="23" spans="1:28" ht="26.1" customHeight="1" x14ac:dyDescent="0.25">
      <c r="A23" s="9" t="s">
        <v>434</v>
      </c>
      <c r="B23" s="79" t="s">
        <v>525</v>
      </c>
      <c r="C23" s="64"/>
      <c r="D23" s="64"/>
      <c r="E23" s="64"/>
      <c r="F23" s="64"/>
      <c r="H23" s="100"/>
      <c r="I23" s="100"/>
      <c r="J23" s="100"/>
      <c r="K23" s="100"/>
      <c r="L23" s="100"/>
      <c r="M23" s="100"/>
      <c r="N23" s="100"/>
      <c r="O23" s="100"/>
      <c r="P23" s="100"/>
      <c r="Q23" s="100"/>
      <c r="R23" s="100"/>
      <c r="S23" s="100"/>
      <c r="T23" s="100"/>
      <c r="U23" s="100"/>
      <c r="V23" s="100"/>
      <c r="W23" s="100"/>
      <c r="X23" s="100"/>
      <c r="Y23" s="100"/>
      <c r="Z23" s="100"/>
      <c r="AA23" s="100"/>
      <c r="AB23" s="100"/>
    </row>
    <row r="24" spans="1:28" ht="26.1" customHeight="1" x14ac:dyDescent="0.25">
      <c r="A24" s="9" t="s">
        <v>516</v>
      </c>
      <c r="B24" s="102" t="s">
        <v>526</v>
      </c>
      <c r="C24" s="64"/>
      <c r="D24" s="64"/>
      <c r="E24" s="64"/>
      <c r="F24" s="64"/>
      <c r="H24" s="100"/>
      <c r="I24" s="100"/>
      <c r="J24" s="100"/>
      <c r="K24" s="100"/>
      <c r="L24" s="100"/>
      <c r="M24" s="100"/>
      <c r="N24" s="100"/>
      <c r="O24" s="100"/>
      <c r="P24" s="100"/>
      <c r="Q24" s="100"/>
      <c r="R24" s="100"/>
      <c r="S24" s="100"/>
      <c r="T24" s="100"/>
      <c r="U24" s="100"/>
      <c r="V24" s="100"/>
      <c r="W24" s="100"/>
      <c r="X24" s="100"/>
      <c r="Y24" s="100"/>
      <c r="Z24" s="100"/>
      <c r="AA24" s="100"/>
      <c r="AB24" s="100"/>
    </row>
    <row r="25" spans="1:28" ht="26.1" customHeight="1" x14ac:dyDescent="0.25">
      <c r="A25" s="9" t="s">
        <v>518</v>
      </c>
      <c r="B25" s="101" t="s">
        <v>527</v>
      </c>
      <c r="C25" s="64"/>
      <c r="D25" s="64"/>
      <c r="E25" s="64"/>
      <c r="F25" s="64"/>
      <c r="H25" s="100"/>
      <c r="I25" s="100"/>
      <c r="J25" s="100"/>
      <c r="K25" s="100"/>
      <c r="L25" s="100"/>
      <c r="M25" s="100"/>
      <c r="N25" s="100"/>
      <c r="O25" s="100"/>
      <c r="P25" s="100"/>
      <c r="Q25" s="100"/>
      <c r="R25" s="100"/>
      <c r="S25" s="100"/>
      <c r="T25" s="100"/>
      <c r="U25" s="100"/>
      <c r="V25" s="100"/>
      <c r="W25" s="100"/>
      <c r="X25" s="100"/>
      <c r="Y25" s="100"/>
      <c r="Z25" s="100"/>
      <c r="AA25" s="100"/>
      <c r="AB25" s="100"/>
    </row>
    <row r="27" spans="1:28" ht="20.100000000000001" customHeight="1" x14ac:dyDescent="0.25">
      <c r="A27" s="65" t="s">
        <v>528</v>
      </c>
      <c r="B27" s="64"/>
      <c r="C27" s="64"/>
      <c r="D27" s="64"/>
      <c r="E27" s="64"/>
      <c r="F27" s="64"/>
    </row>
    <row r="28" spans="1:28" ht="26.1" customHeight="1" x14ac:dyDescent="0.25">
      <c r="A28" s="9" t="s">
        <v>434</v>
      </c>
      <c r="B28" s="79" t="s">
        <v>529</v>
      </c>
      <c r="C28" s="64"/>
      <c r="D28" s="64"/>
      <c r="E28" s="64"/>
      <c r="F28" s="64"/>
    </row>
    <row r="29" spans="1:28" ht="26.1" customHeight="1" x14ac:dyDescent="0.25">
      <c r="A29" s="9" t="s">
        <v>516</v>
      </c>
      <c r="B29" s="102" t="s">
        <v>530</v>
      </c>
      <c r="C29" s="64"/>
      <c r="D29" s="64"/>
      <c r="E29" s="64"/>
      <c r="F29" s="64"/>
    </row>
    <row r="30" spans="1:28" ht="26.1" customHeight="1" x14ac:dyDescent="0.25">
      <c r="A30" s="9" t="s">
        <v>518</v>
      </c>
      <c r="B30" s="101" t="s">
        <v>531</v>
      </c>
      <c r="C30" s="64"/>
      <c r="D30" s="64"/>
      <c r="E30" s="64"/>
      <c r="F30" s="64"/>
    </row>
    <row r="32" spans="1:28" ht="20.100000000000001" customHeight="1" x14ac:dyDescent="0.25">
      <c r="A32" s="65" t="s">
        <v>532</v>
      </c>
      <c r="B32" s="64"/>
      <c r="C32" s="64"/>
      <c r="D32" s="64"/>
      <c r="E32" s="64"/>
      <c r="F32" s="64"/>
    </row>
    <row r="33" spans="1:6" ht="26.1" customHeight="1" x14ac:dyDescent="0.25">
      <c r="A33" s="9" t="s">
        <v>434</v>
      </c>
      <c r="B33" s="79" t="s">
        <v>533</v>
      </c>
      <c r="C33" s="64"/>
      <c r="D33" s="64"/>
      <c r="E33" s="64"/>
      <c r="F33" s="64"/>
    </row>
    <row r="34" spans="1:6" ht="26.1" customHeight="1" x14ac:dyDescent="0.25">
      <c r="A34" s="9" t="s">
        <v>516</v>
      </c>
      <c r="B34" s="102" t="s">
        <v>534</v>
      </c>
      <c r="C34" s="64"/>
      <c r="D34" s="64"/>
      <c r="E34" s="64"/>
      <c r="F34" s="64"/>
    </row>
    <row r="35" spans="1:6" ht="26.1" customHeight="1" x14ac:dyDescent="0.25">
      <c r="A35" s="9" t="s">
        <v>518</v>
      </c>
      <c r="B35" s="101" t="s">
        <v>535</v>
      </c>
      <c r="C35" s="64"/>
      <c r="D35" s="64"/>
      <c r="E35" s="64"/>
      <c r="F35" s="64"/>
    </row>
    <row r="37" spans="1:6" ht="20.100000000000001" customHeight="1" x14ac:dyDescent="0.25">
      <c r="A37" s="65" t="s">
        <v>536</v>
      </c>
      <c r="B37" s="64"/>
      <c r="C37" s="64"/>
      <c r="D37" s="64"/>
      <c r="E37" s="64"/>
      <c r="F37" s="64"/>
    </row>
    <row r="38" spans="1:6" ht="26.1" customHeight="1" x14ac:dyDescent="0.25">
      <c r="A38" s="9" t="s">
        <v>434</v>
      </c>
      <c r="B38" s="79" t="s">
        <v>537</v>
      </c>
      <c r="C38" s="64"/>
      <c r="D38" s="64"/>
      <c r="E38" s="64"/>
      <c r="F38" s="64"/>
    </row>
    <row r="39" spans="1:6" ht="26.1" customHeight="1" x14ac:dyDescent="0.25">
      <c r="A39" s="9" t="s">
        <v>516</v>
      </c>
      <c r="B39" s="102" t="s">
        <v>538</v>
      </c>
      <c r="C39" s="64"/>
      <c r="D39" s="64"/>
      <c r="E39" s="64"/>
      <c r="F39" s="64"/>
    </row>
    <row r="40" spans="1:6" ht="26.1" customHeight="1" x14ac:dyDescent="0.25">
      <c r="A40" s="9" t="s">
        <v>518</v>
      </c>
      <c r="B40" s="101" t="s">
        <v>539</v>
      </c>
      <c r="C40" s="64"/>
      <c r="D40" s="64"/>
      <c r="E40" s="64"/>
      <c r="F40" s="64"/>
    </row>
    <row r="42" spans="1:6" ht="20.100000000000001" customHeight="1" x14ac:dyDescent="0.25">
      <c r="A42" s="72" t="s">
        <v>540</v>
      </c>
      <c r="B42" s="64"/>
      <c r="C42" s="64"/>
      <c r="D42" s="64"/>
      <c r="E42" s="64"/>
      <c r="F42" s="64"/>
    </row>
    <row r="43" spans="1:6" ht="18" customHeight="1" x14ac:dyDescent="0.25">
      <c r="A43" s="78" t="s">
        <v>541</v>
      </c>
      <c r="B43" s="64"/>
      <c r="C43" s="64"/>
      <c r="D43" s="64"/>
      <c r="E43" s="64"/>
      <c r="F43" s="64"/>
    </row>
    <row r="44" spans="1:6" ht="18" customHeight="1" x14ac:dyDescent="0.25">
      <c r="A44" s="77" t="s">
        <v>542</v>
      </c>
      <c r="B44" s="64"/>
      <c r="C44" s="64"/>
      <c r="D44" s="64"/>
      <c r="E44" s="64"/>
      <c r="F44" s="64"/>
    </row>
    <row r="45" spans="1:6" ht="18" customHeight="1" x14ac:dyDescent="0.25">
      <c r="A45" s="78" t="s">
        <v>543</v>
      </c>
      <c r="B45" s="64"/>
      <c r="C45" s="64"/>
      <c r="D45" s="64"/>
      <c r="E45" s="64"/>
      <c r="F45" s="64"/>
    </row>
    <row r="46" spans="1:6" ht="18" customHeight="1" x14ac:dyDescent="0.25">
      <c r="A46" s="77" t="s">
        <v>544</v>
      </c>
      <c r="B46" s="64"/>
      <c r="C46" s="64"/>
      <c r="D46" s="64"/>
      <c r="E46" s="64"/>
      <c r="F46" s="64"/>
    </row>
    <row r="47" spans="1:6" ht="18" customHeight="1" x14ac:dyDescent="0.25">
      <c r="A47" s="78" t="s">
        <v>545</v>
      </c>
      <c r="B47" s="64"/>
      <c r="C47" s="64"/>
      <c r="D47" s="64"/>
      <c r="E47" s="64"/>
      <c r="F47" s="64"/>
    </row>
    <row r="48" spans="1:6" ht="18" customHeight="1" x14ac:dyDescent="0.25">
      <c r="A48" s="77" t="s">
        <v>546</v>
      </c>
      <c r="B48" s="64"/>
      <c r="C48" s="64"/>
      <c r="D48" s="64"/>
      <c r="E48" s="64"/>
      <c r="F48" s="64"/>
    </row>
  </sheetData>
  <mergeCells count="41">
    <mergeCell ref="A43:F43"/>
    <mergeCell ref="B29:F29"/>
    <mergeCell ref="B38:F38"/>
    <mergeCell ref="B19:F19"/>
    <mergeCell ref="A2:F2"/>
    <mergeCell ref="A5:F5"/>
    <mergeCell ref="A8:F8"/>
    <mergeCell ref="A4:F4"/>
    <mergeCell ref="B13:F13"/>
    <mergeCell ref="A48:F48"/>
    <mergeCell ref="B40:F40"/>
    <mergeCell ref="B30:F30"/>
    <mergeCell ref="A11:F11"/>
    <mergeCell ref="B24:F24"/>
    <mergeCell ref="B20:F20"/>
    <mergeCell ref="B15:F15"/>
    <mergeCell ref="B33:F33"/>
    <mergeCell ref="B39:F39"/>
    <mergeCell ref="A42:F42"/>
    <mergeCell ref="A47:F47"/>
    <mergeCell ref="A32:F32"/>
    <mergeCell ref="A22:F22"/>
    <mergeCell ref="A17:F17"/>
    <mergeCell ref="B23:F23"/>
    <mergeCell ref="B14:F14"/>
    <mergeCell ref="H1:AB25"/>
    <mergeCell ref="A46:F46"/>
    <mergeCell ref="B25:F25"/>
    <mergeCell ref="A37:F37"/>
    <mergeCell ref="A27:F27"/>
    <mergeCell ref="A12:F12"/>
    <mergeCell ref="B18:F18"/>
    <mergeCell ref="B34:F34"/>
    <mergeCell ref="A44:F44"/>
    <mergeCell ref="B28:F28"/>
    <mergeCell ref="A1:F1"/>
    <mergeCell ref="A45:F45"/>
    <mergeCell ref="A6:F6"/>
    <mergeCell ref="A7:F7"/>
    <mergeCell ref="B35:F35"/>
    <mergeCell ref="A9:F9"/>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594AF-2471-432B-95DA-9DA48EC4E23D}">
  <dimension ref="A3:P362"/>
  <sheetViews>
    <sheetView zoomScaleNormal="100" workbookViewId="0">
      <selection activeCell="L31" sqref="L31"/>
    </sheetView>
  </sheetViews>
  <sheetFormatPr defaultRowHeight="15" x14ac:dyDescent="0.25"/>
  <cols>
    <col min="1" max="1" width="13.140625" bestFit="1" customWidth="1"/>
    <col min="2" max="3" width="18.5703125" bestFit="1" customWidth="1"/>
    <col min="4" max="4" width="16.28515625" bestFit="1" customWidth="1"/>
    <col min="5" max="5" width="10.5703125" bestFit="1" customWidth="1"/>
    <col min="6" max="6" width="16.5703125" bestFit="1" customWidth="1"/>
    <col min="7" max="7" width="8.42578125" bestFit="1" customWidth="1"/>
    <col min="8" max="8" width="7.140625" bestFit="1" customWidth="1"/>
    <col min="9" max="9" width="11.28515625" bestFit="1" customWidth="1"/>
    <col min="10" max="10" width="20.42578125" bestFit="1" customWidth="1"/>
    <col min="11" max="11" width="11" bestFit="1" customWidth="1"/>
    <col min="12" max="12" width="12.85546875" bestFit="1" customWidth="1"/>
    <col min="13" max="13" width="14.140625" bestFit="1" customWidth="1"/>
    <col min="14" max="14" width="16.7109375" bestFit="1" customWidth="1"/>
    <col min="15" max="15" width="12.5703125" bestFit="1" customWidth="1"/>
    <col min="16" max="16" width="13.85546875" bestFit="1" customWidth="1"/>
    <col min="17" max="17" width="10.5703125" bestFit="1" customWidth="1"/>
    <col min="18" max="18" width="9.7109375" bestFit="1" customWidth="1"/>
    <col min="19" max="19" width="15.42578125" bestFit="1" customWidth="1"/>
    <col min="20" max="20" width="13.28515625" bestFit="1" customWidth="1"/>
    <col min="21" max="21" width="16.5703125" bestFit="1" customWidth="1"/>
    <col min="22" max="22" width="9.85546875" bestFit="1" customWidth="1"/>
    <col min="23" max="23" width="12.28515625" bestFit="1" customWidth="1"/>
    <col min="24" max="24" width="12.5703125" bestFit="1" customWidth="1"/>
    <col min="25" max="25" width="12" bestFit="1" customWidth="1"/>
    <col min="26" max="26" width="13.28515625" bestFit="1" customWidth="1"/>
    <col min="27" max="27" width="12.28515625" bestFit="1" customWidth="1"/>
    <col min="28" max="28" width="17" bestFit="1" customWidth="1"/>
    <col min="29" max="29" width="11.5703125" bestFit="1" customWidth="1"/>
    <col min="30" max="30" width="12.42578125" bestFit="1" customWidth="1"/>
    <col min="31" max="31" width="17" bestFit="1" customWidth="1"/>
    <col min="32" max="32" width="12.85546875" bestFit="1" customWidth="1"/>
    <col min="33" max="33" width="11.140625" bestFit="1" customWidth="1"/>
    <col min="34" max="34" width="11.42578125" bestFit="1" customWidth="1"/>
    <col min="35" max="35" width="10.85546875" bestFit="1" customWidth="1"/>
    <col min="36" max="36" width="10" bestFit="1" customWidth="1"/>
    <col min="37" max="37" width="11.28515625" bestFit="1" customWidth="1"/>
    <col min="38" max="90" width="10.42578125" bestFit="1" customWidth="1"/>
    <col min="91" max="91" width="11.28515625" bestFit="1" customWidth="1"/>
  </cols>
  <sheetData>
    <row r="3" spans="1:9" x14ac:dyDescent="0.25">
      <c r="A3" s="11" t="s">
        <v>562</v>
      </c>
      <c r="B3" t="s">
        <v>564</v>
      </c>
      <c r="C3" s="11" t="s">
        <v>562</v>
      </c>
      <c r="D3" t="s">
        <v>564</v>
      </c>
      <c r="E3" s="11" t="s">
        <v>562</v>
      </c>
      <c r="F3" t="s">
        <v>564</v>
      </c>
      <c r="G3" t="s">
        <v>562</v>
      </c>
      <c r="H3" t="s">
        <v>564</v>
      </c>
    </row>
    <row r="4" spans="1:9" x14ac:dyDescent="0.25">
      <c r="A4" s="12" t="s">
        <v>25</v>
      </c>
      <c r="B4">
        <v>38591</v>
      </c>
      <c r="C4" s="12" t="s">
        <v>33</v>
      </c>
      <c r="D4">
        <v>18563</v>
      </c>
      <c r="E4" s="12" t="s">
        <v>57</v>
      </c>
      <c r="F4">
        <v>10997</v>
      </c>
      <c r="G4" t="s">
        <v>57</v>
      </c>
      <c r="H4">
        <v>10997</v>
      </c>
    </row>
    <row r="5" spans="1:9" x14ac:dyDescent="0.25">
      <c r="A5" s="12" t="s">
        <v>41</v>
      </c>
      <c r="B5">
        <v>39435</v>
      </c>
      <c r="C5" s="12" t="s">
        <v>17</v>
      </c>
      <c r="D5">
        <v>18634</v>
      </c>
      <c r="E5" s="12" t="s">
        <v>53</v>
      </c>
      <c r="F5">
        <v>20626</v>
      </c>
      <c r="G5" t="s">
        <v>53</v>
      </c>
      <c r="H5">
        <v>20626</v>
      </c>
    </row>
    <row r="6" spans="1:9" x14ac:dyDescent="0.25">
      <c r="A6" s="12" t="s">
        <v>17</v>
      </c>
      <c r="B6">
        <v>18634</v>
      </c>
      <c r="C6" s="12" t="s">
        <v>25</v>
      </c>
      <c r="D6">
        <v>38591</v>
      </c>
      <c r="E6" s="12" t="s">
        <v>77</v>
      </c>
      <c r="F6">
        <v>21504</v>
      </c>
      <c r="G6" t="s">
        <v>77</v>
      </c>
      <c r="H6">
        <v>21504</v>
      </c>
    </row>
    <row r="7" spans="1:9" x14ac:dyDescent="0.25">
      <c r="A7" s="12" t="s">
        <v>33</v>
      </c>
      <c r="B7">
        <v>18563</v>
      </c>
      <c r="C7" s="12" t="s">
        <v>41</v>
      </c>
      <c r="D7">
        <v>39435</v>
      </c>
      <c r="E7" s="12" t="s">
        <v>563</v>
      </c>
      <c r="F7">
        <v>53127</v>
      </c>
    </row>
    <row r="8" spans="1:9" x14ac:dyDescent="0.25">
      <c r="A8" s="12" t="s">
        <v>563</v>
      </c>
      <c r="B8">
        <v>115223</v>
      </c>
      <c r="C8" s="12" t="s">
        <v>563</v>
      </c>
      <c r="D8">
        <v>115223</v>
      </c>
    </row>
    <row r="10" spans="1:9" x14ac:dyDescent="0.25">
      <c r="A10" s="11" t="s">
        <v>562</v>
      </c>
      <c r="B10" t="s">
        <v>564</v>
      </c>
      <c r="C10" s="11" t="s">
        <v>564</v>
      </c>
      <c r="D10" s="11" t="s">
        <v>565</v>
      </c>
    </row>
    <row r="11" spans="1:9" x14ac:dyDescent="0.25">
      <c r="A11" s="12" t="s">
        <v>52</v>
      </c>
      <c r="B11">
        <v>42130</v>
      </c>
      <c r="C11" s="11" t="s">
        <v>562</v>
      </c>
      <c r="D11" t="s">
        <v>42</v>
      </c>
      <c r="E11" t="s">
        <v>48</v>
      </c>
      <c r="F11" t="s">
        <v>26</v>
      </c>
      <c r="G11" t="s">
        <v>18</v>
      </c>
      <c r="H11" t="s">
        <v>34</v>
      </c>
      <c r="I11" t="s">
        <v>563</v>
      </c>
    </row>
    <row r="12" spans="1:9" x14ac:dyDescent="0.25">
      <c r="A12" s="12" t="s">
        <v>15</v>
      </c>
      <c r="B12">
        <v>21101</v>
      </c>
      <c r="C12" s="12" t="s">
        <v>41</v>
      </c>
      <c r="D12">
        <v>18294</v>
      </c>
      <c r="E12">
        <v>11490</v>
      </c>
      <c r="F12">
        <v>6240</v>
      </c>
      <c r="G12">
        <v>2634</v>
      </c>
      <c r="H12">
        <v>777</v>
      </c>
      <c r="I12">
        <v>39435</v>
      </c>
    </row>
    <row r="13" spans="1:9" x14ac:dyDescent="0.25">
      <c r="A13" s="12" t="s">
        <v>23</v>
      </c>
      <c r="B13">
        <v>18666</v>
      </c>
      <c r="C13" s="12" t="s">
        <v>25</v>
      </c>
      <c r="D13">
        <v>18654</v>
      </c>
      <c r="E13">
        <v>11290</v>
      </c>
      <c r="F13">
        <v>5400</v>
      </c>
      <c r="G13">
        <v>2452</v>
      </c>
      <c r="H13">
        <v>795</v>
      </c>
      <c r="I13">
        <v>38591</v>
      </c>
    </row>
    <row r="14" spans="1:9" x14ac:dyDescent="0.25">
      <c r="A14" s="12" t="s">
        <v>31</v>
      </c>
      <c r="B14">
        <v>7129</v>
      </c>
      <c r="C14" s="12" t="s">
        <v>17</v>
      </c>
      <c r="D14">
        <v>4980</v>
      </c>
      <c r="E14">
        <v>8140</v>
      </c>
      <c r="F14">
        <v>3840</v>
      </c>
      <c r="G14">
        <v>796</v>
      </c>
      <c r="H14">
        <v>878</v>
      </c>
      <c r="I14">
        <v>18634</v>
      </c>
    </row>
    <row r="15" spans="1:9" x14ac:dyDescent="0.25">
      <c r="A15" s="12" t="s">
        <v>39</v>
      </c>
      <c r="B15">
        <v>17230</v>
      </c>
      <c r="C15" s="12" t="s">
        <v>33</v>
      </c>
      <c r="D15">
        <v>5180</v>
      </c>
      <c r="E15">
        <v>8040</v>
      </c>
      <c r="F15">
        <v>3690</v>
      </c>
      <c r="G15">
        <v>812</v>
      </c>
      <c r="H15">
        <v>841</v>
      </c>
      <c r="I15">
        <v>18563</v>
      </c>
    </row>
    <row r="16" spans="1:9" x14ac:dyDescent="0.25">
      <c r="A16" s="12" t="s">
        <v>46</v>
      </c>
      <c r="B16">
        <v>8967</v>
      </c>
      <c r="C16" s="12" t="s">
        <v>563</v>
      </c>
      <c r="D16">
        <v>47108</v>
      </c>
      <c r="E16">
        <v>38960</v>
      </c>
      <c r="F16">
        <v>19170</v>
      </c>
      <c r="G16">
        <v>6694</v>
      </c>
      <c r="H16">
        <v>3291</v>
      </c>
      <c r="I16">
        <v>115223</v>
      </c>
    </row>
    <row r="17" spans="1:9" x14ac:dyDescent="0.25">
      <c r="A17" s="12" t="s">
        <v>563</v>
      </c>
      <c r="B17">
        <v>115223</v>
      </c>
    </row>
    <row r="19" spans="1:9" x14ac:dyDescent="0.25">
      <c r="A19" s="11" t="s">
        <v>564</v>
      </c>
      <c r="B19" s="11" t="s">
        <v>565</v>
      </c>
      <c r="F19" s="11" t="s">
        <v>562</v>
      </c>
      <c r="G19" t="s">
        <v>566</v>
      </c>
      <c r="H19" s="11" t="s">
        <v>562</v>
      </c>
      <c r="I19" t="s">
        <v>566</v>
      </c>
    </row>
    <row r="20" spans="1:9" x14ac:dyDescent="0.25">
      <c r="A20" s="11" t="s">
        <v>562</v>
      </c>
      <c r="B20" t="s">
        <v>36</v>
      </c>
      <c r="C20" t="s">
        <v>20</v>
      </c>
      <c r="D20" t="s">
        <v>28</v>
      </c>
      <c r="E20" t="s">
        <v>563</v>
      </c>
      <c r="F20" s="12" t="s">
        <v>33</v>
      </c>
      <c r="G20">
        <v>371.26</v>
      </c>
      <c r="H20" s="12" t="s">
        <v>32</v>
      </c>
      <c r="I20">
        <v>204.94117647058823</v>
      </c>
    </row>
    <row r="21" spans="1:9" x14ac:dyDescent="0.25">
      <c r="A21" s="12" t="s">
        <v>52</v>
      </c>
      <c r="B21">
        <v>42130</v>
      </c>
      <c r="C21">
        <v>0</v>
      </c>
      <c r="D21">
        <v>0</v>
      </c>
      <c r="E21">
        <v>42130</v>
      </c>
      <c r="F21" s="12" t="s">
        <v>17</v>
      </c>
      <c r="G21">
        <v>372.68</v>
      </c>
      <c r="H21" s="12" t="s">
        <v>73</v>
      </c>
      <c r="I21">
        <v>255.125</v>
      </c>
    </row>
    <row r="22" spans="1:9" x14ac:dyDescent="0.25">
      <c r="A22" s="12" t="s">
        <v>15</v>
      </c>
      <c r="B22">
        <v>0</v>
      </c>
      <c r="C22">
        <v>21101</v>
      </c>
      <c r="D22">
        <v>0</v>
      </c>
      <c r="E22">
        <v>21101</v>
      </c>
      <c r="F22" s="12" t="s">
        <v>25</v>
      </c>
      <c r="G22">
        <v>771.82</v>
      </c>
      <c r="H22" s="12" t="s">
        <v>24</v>
      </c>
      <c r="I22">
        <v>544.05882352941171</v>
      </c>
    </row>
    <row r="23" spans="1:9" x14ac:dyDescent="0.25">
      <c r="A23" s="12" t="s">
        <v>23</v>
      </c>
      <c r="B23">
        <v>0</v>
      </c>
      <c r="C23">
        <v>0</v>
      </c>
      <c r="D23">
        <v>18666</v>
      </c>
      <c r="E23">
        <v>18666</v>
      </c>
      <c r="F23" s="12" t="s">
        <v>41</v>
      </c>
      <c r="G23">
        <v>788.7</v>
      </c>
      <c r="H23" s="12" t="s">
        <v>53</v>
      </c>
      <c r="I23">
        <v>1213.2941176470588</v>
      </c>
    </row>
    <row r="24" spans="1:9" x14ac:dyDescent="0.25">
      <c r="A24" s="12" t="s">
        <v>31</v>
      </c>
      <c r="B24">
        <v>7129</v>
      </c>
      <c r="C24">
        <v>0</v>
      </c>
      <c r="D24">
        <v>0</v>
      </c>
      <c r="E24">
        <v>7129</v>
      </c>
      <c r="F24" s="12" t="s">
        <v>563</v>
      </c>
      <c r="G24">
        <v>576.11500000000001</v>
      </c>
      <c r="H24" s="12" t="s">
        <v>65</v>
      </c>
      <c r="I24">
        <v>227.8125</v>
      </c>
    </row>
    <row r="25" spans="1:9" x14ac:dyDescent="0.25">
      <c r="A25" s="12" t="s">
        <v>39</v>
      </c>
      <c r="B25">
        <v>0</v>
      </c>
      <c r="C25">
        <v>17230</v>
      </c>
      <c r="D25">
        <v>0</v>
      </c>
      <c r="E25">
        <v>17230</v>
      </c>
      <c r="H25" s="12" t="s">
        <v>77</v>
      </c>
      <c r="I25">
        <v>1344</v>
      </c>
    </row>
    <row r="26" spans="1:9" x14ac:dyDescent="0.25">
      <c r="A26" s="12" t="s">
        <v>46</v>
      </c>
      <c r="B26">
        <v>0</v>
      </c>
      <c r="C26">
        <v>0</v>
      </c>
      <c r="D26">
        <v>8967</v>
      </c>
      <c r="E26">
        <v>8967</v>
      </c>
      <c r="H26" s="12" t="s">
        <v>69</v>
      </c>
      <c r="I26">
        <v>544.75</v>
      </c>
    </row>
    <row r="27" spans="1:9" x14ac:dyDescent="0.25">
      <c r="A27" s="12" t="s">
        <v>563</v>
      </c>
      <c r="B27">
        <v>49259</v>
      </c>
      <c r="C27">
        <v>38331</v>
      </c>
      <c r="D27">
        <v>27633</v>
      </c>
      <c r="E27">
        <v>115223</v>
      </c>
      <c r="H27" s="12" t="s">
        <v>57</v>
      </c>
      <c r="I27">
        <v>646.88235294117646</v>
      </c>
    </row>
    <row r="28" spans="1:9" x14ac:dyDescent="0.25">
      <c r="H28" s="12" t="s">
        <v>47</v>
      </c>
      <c r="I28">
        <v>287.35294117647061</v>
      </c>
    </row>
    <row r="29" spans="1:9" x14ac:dyDescent="0.25">
      <c r="A29" s="11" t="s">
        <v>562</v>
      </c>
      <c r="B29" t="s">
        <v>567</v>
      </c>
      <c r="C29" t="s">
        <v>564</v>
      </c>
      <c r="H29" s="12" t="s">
        <v>61</v>
      </c>
      <c r="I29">
        <v>553.94117647058829</v>
      </c>
    </row>
    <row r="30" spans="1:9" x14ac:dyDescent="0.25">
      <c r="A30" s="12" t="s">
        <v>48</v>
      </c>
      <c r="B30">
        <v>40</v>
      </c>
      <c r="C30">
        <v>38960</v>
      </c>
      <c r="H30" s="12" t="s">
        <v>16</v>
      </c>
      <c r="I30">
        <v>594.35294117647061</v>
      </c>
    </row>
    <row r="31" spans="1:9" x14ac:dyDescent="0.25">
      <c r="A31" s="12" t="s">
        <v>34</v>
      </c>
      <c r="B31">
        <v>40</v>
      </c>
      <c r="C31">
        <v>3291</v>
      </c>
      <c r="H31" s="12" t="s">
        <v>40</v>
      </c>
      <c r="I31">
        <v>500.8235294117647</v>
      </c>
    </row>
    <row r="32" spans="1:9" x14ac:dyDescent="0.25">
      <c r="A32" s="12" t="s">
        <v>26</v>
      </c>
      <c r="B32">
        <v>60</v>
      </c>
      <c r="C32">
        <v>19170</v>
      </c>
      <c r="H32" s="12" t="s">
        <v>563</v>
      </c>
      <c r="I32">
        <v>576.11500000000001</v>
      </c>
    </row>
    <row r="33" spans="1:16" x14ac:dyDescent="0.25">
      <c r="A33" s="12" t="s">
        <v>18</v>
      </c>
      <c r="B33">
        <v>60</v>
      </c>
      <c r="C33">
        <v>6694</v>
      </c>
    </row>
    <row r="34" spans="1:16" x14ac:dyDescent="0.25">
      <c r="A34" s="12" t="s">
        <v>42</v>
      </c>
      <c r="B34">
        <v>100</v>
      </c>
      <c r="C34">
        <v>47108</v>
      </c>
    </row>
    <row r="35" spans="1:16" x14ac:dyDescent="0.25">
      <c r="A35" s="12" t="s">
        <v>563</v>
      </c>
      <c r="B35">
        <v>300</v>
      </c>
      <c r="C35">
        <v>115223</v>
      </c>
    </row>
    <row r="37" spans="1:16" x14ac:dyDescent="0.25">
      <c r="A37" s="11" t="s">
        <v>562</v>
      </c>
      <c r="B37" t="s">
        <v>564</v>
      </c>
    </row>
    <row r="38" spans="1:16" x14ac:dyDescent="0.25">
      <c r="A38" s="12" t="s">
        <v>77</v>
      </c>
      <c r="B38">
        <v>21504</v>
      </c>
      <c r="E38">
        <v>21504</v>
      </c>
      <c r="F38" s="11" t="s">
        <v>562</v>
      </c>
      <c r="G38" t="s">
        <v>564</v>
      </c>
      <c r="H38">
        <f>AVERAGE(G39:G44)</f>
        <v>19203.833333333332</v>
      </c>
      <c r="I38">
        <v>42130</v>
      </c>
      <c r="K38">
        <f>AVERAGE(I38:I43)</f>
        <v>1196129.8333333333</v>
      </c>
    </row>
    <row r="39" spans="1:16" x14ac:dyDescent="0.25">
      <c r="A39" s="15" t="s">
        <v>41</v>
      </c>
      <c r="B39">
        <v>21504</v>
      </c>
      <c r="E39">
        <v>20626</v>
      </c>
      <c r="F39" s="12" t="s">
        <v>52</v>
      </c>
      <c r="G39">
        <v>42130</v>
      </c>
      <c r="I39">
        <v>10988</v>
      </c>
    </row>
    <row r="40" spans="1:16" x14ac:dyDescent="0.25">
      <c r="A40" s="12" t="s">
        <v>53</v>
      </c>
      <c r="B40">
        <v>20626</v>
      </c>
      <c r="E40">
        <v>10997</v>
      </c>
      <c r="F40" s="12" t="s">
        <v>15</v>
      </c>
      <c r="G40">
        <v>21101</v>
      </c>
      <c r="I40">
        <v>18666</v>
      </c>
    </row>
    <row r="41" spans="1:16" x14ac:dyDescent="0.25">
      <c r="A41" s="15" t="s">
        <v>25</v>
      </c>
      <c r="B41">
        <v>20626</v>
      </c>
      <c r="E41">
        <v>10104</v>
      </c>
      <c r="F41" s="12" t="s">
        <v>23</v>
      </c>
      <c r="G41">
        <v>18666</v>
      </c>
      <c r="I41">
        <v>7100000</v>
      </c>
    </row>
    <row r="42" spans="1:16" x14ac:dyDescent="0.25">
      <c r="A42" s="12" t="s">
        <v>57</v>
      </c>
      <c r="B42">
        <v>10997</v>
      </c>
      <c r="E42">
        <v>9417</v>
      </c>
      <c r="F42" s="12" t="s">
        <v>31</v>
      </c>
      <c r="G42">
        <v>7129</v>
      </c>
      <c r="I42">
        <v>2652</v>
      </c>
    </row>
    <row r="43" spans="1:16" x14ac:dyDescent="0.25">
      <c r="A43" s="15" t="s">
        <v>33</v>
      </c>
      <c r="B43">
        <v>10997</v>
      </c>
      <c r="E43">
        <v>9249</v>
      </c>
      <c r="F43" s="12" t="s">
        <v>39</v>
      </c>
      <c r="G43">
        <v>17230</v>
      </c>
      <c r="I43">
        <v>2343</v>
      </c>
    </row>
    <row r="44" spans="1:16" x14ac:dyDescent="0.25">
      <c r="A44" s="12" t="s">
        <v>16</v>
      </c>
      <c r="B44">
        <v>10104</v>
      </c>
      <c r="E44">
        <v>8716</v>
      </c>
      <c r="F44" s="12" t="s">
        <v>46</v>
      </c>
      <c r="G44">
        <v>8967</v>
      </c>
    </row>
    <row r="45" spans="1:16" x14ac:dyDescent="0.25">
      <c r="A45" s="15" t="s">
        <v>17</v>
      </c>
      <c r="B45">
        <v>10104</v>
      </c>
      <c r="E45">
        <v>8514</v>
      </c>
      <c r="F45" s="12" t="s">
        <v>563</v>
      </c>
      <c r="G45">
        <v>115223</v>
      </c>
      <c r="I45" s="11" t="s">
        <v>562</v>
      </c>
      <c r="J45" t="s">
        <v>564</v>
      </c>
      <c r="K45">
        <f>AVERAGE(J46:J75)</f>
        <v>1712</v>
      </c>
    </row>
    <row r="46" spans="1:16" x14ac:dyDescent="0.25">
      <c r="A46" s="12" t="s">
        <v>61</v>
      </c>
      <c r="B46">
        <v>9417</v>
      </c>
      <c r="E46">
        <v>4885</v>
      </c>
      <c r="I46" s="12" t="s">
        <v>62</v>
      </c>
      <c r="J46">
        <v>168</v>
      </c>
      <c r="K46">
        <f>MEDIAN(J46:J75)</f>
        <v>884.5</v>
      </c>
      <c r="O46" t="s">
        <v>562</v>
      </c>
      <c r="P46" t="s">
        <v>564</v>
      </c>
    </row>
    <row r="47" spans="1:16" x14ac:dyDescent="0.25">
      <c r="A47" s="15" t="s">
        <v>41</v>
      </c>
      <c r="B47">
        <v>9417</v>
      </c>
      <c r="E47">
        <v>4082</v>
      </c>
      <c r="F47" s="18"/>
      <c r="G47" s="19"/>
      <c r="H47" s="20"/>
      <c r="I47" s="12" t="s">
        <v>111</v>
      </c>
      <c r="J47">
        <v>228</v>
      </c>
      <c r="O47" t="s">
        <v>114</v>
      </c>
      <c r="P47">
        <v>26910</v>
      </c>
    </row>
    <row r="48" spans="1:16" x14ac:dyDescent="0.25">
      <c r="A48" s="12" t="s">
        <v>24</v>
      </c>
      <c r="B48">
        <v>9249</v>
      </c>
      <c r="E48">
        <v>3645</v>
      </c>
      <c r="F48" s="21"/>
      <c r="G48" s="22"/>
      <c r="H48" s="23"/>
      <c r="I48" s="12" t="s">
        <v>96</v>
      </c>
      <c r="J48">
        <v>294</v>
      </c>
      <c r="O48" t="s">
        <v>117</v>
      </c>
      <c r="P48">
        <v>11994</v>
      </c>
    </row>
    <row r="49" spans="1:16" x14ac:dyDescent="0.25">
      <c r="A49" s="15" t="s">
        <v>25</v>
      </c>
      <c r="B49">
        <v>9249</v>
      </c>
      <c r="E49">
        <v>3484</v>
      </c>
      <c r="F49" s="21"/>
      <c r="G49" s="22"/>
      <c r="H49" s="23"/>
      <c r="I49" s="12" t="s">
        <v>105</v>
      </c>
      <c r="J49">
        <v>390</v>
      </c>
      <c r="O49" t="s">
        <v>102</v>
      </c>
      <c r="P49">
        <v>9093</v>
      </c>
    </row>
    <row r="50" spans="1:16" x14ac:dyDescent="0.25">
      <c r="A50" s="12" t="s">
        <v>69</v>
      </c>
      <c r="B50">
        <v>8716</v>
      </c>
      <c r="F50" s="21"/>
      <c r="G50" s="22"/>
      <c r="H50" s="23"/>
      <c r="I50" s="12" t="s">
        <v>19</v>
      </c>
      <c r="J50">
        <v>553</v>
      </c>
      <c r="O50" t="s">
        <v>70</v>
      </c>
      <c r="P50">
        <v>7693</v>
      </c>
    </row>
    <row r="51" spans="1:16" x14ac:dyDescent="0.25">
      <c r="A51" s="15" t="s">
        <v>25</v>
      </c>
      <c r="B51">
        <v>8716</v>
      </c>
      <c r="F51" s="21"/>
      <c r="G51" s="22"/>
      <c r="H51" s="23"/>
      <c r="I51" s="12" t="s">
        <v>35</v>
      </c>
      <c r="J51">
        <v>616</v>
      </c>
      <c r="O51" t="s">
        <v>78</v>
      </c>
      <c r="P51">
        <v>7686</v>
      </c>
    </row>
    <row r="52" spans="1:16" x14ac:dyDescent="0.25">
      <c r="A52" s="12" t="s">
        <v>40</v>
      </c>
      <c r="B52">
        <v>8514</v>
      </c>
      <c r="F52" s="21"/>
      <c r="G52" s="22"/>
      <c r="H52" s="23"/>
      <c r="I52" s="12" t="s">
        <v>74</v>
      </c>
      <c r="J52">
        <v>665</v>
      </c>
      <c r="O52" t="s">
        <v>84</v>
      </c>
      <c r="P52">
        <v>6279</v>
      </c>
    </row>
    <row r="53" spans="1:16" x14ac:dyDescent="0.25">
      <c r="A53" s="15" t="s">
        <v>41</v>
      </c>
      <c r="B53">
        <v>8514</v>
      </c>
      <c r="F53" s="21"/>
      <c r="G53" s="22"/>
      <c r="H53" s="23"/>
      <c r="I53" s="12" t="s">
        <v>81</v>
      </c>
      <c r="J53">
        <v>875</v>
      </c>
      <c r="O53" t="s">
        <v>132</v>
      </c>
      <c r="P53">
        <v>5994</v>
      </c>
    </row>
    <row r="54" spans="1:16" x14ac:dyDescent="0.25">
      <c r="A54" s="12" t="s">
        <v>47</v>
      </c>
      <c r="B54">
        <v>4885</v>
      </c>
      <c r="F54" s="21"/>
      <c r="G54" s="22"/>
      <c r="H54" s="23"/>
      <c r="I54" s="12" t="s">
        <v>123</v>
      </c>
      <c r="J54">
        <v>894</v>
      </c>
      <c r="O54" t="s">
        <v>99</v>
      </c>
      <c r="P54">
        <v>4886</v>
      </c>
    </row>
    <row r="55" spans="1:16" x14ac:dyDescent="0.25">
      <c r="A55" s="15" t="s">
        <v>17</v>
      </c>
      <c r="B55">
        <v>4885</v>
      </c>
      <c r="F55" s="21"/>
      <c r="G55" s="22"/>
      <c r="H55" s="23"/>
      <c r="I55" s="12" t="s">
        <v>126</v>
      </c>
      <c r="J55">
        <v>1110</v>
      </c>
      <c r="O55" t="s">
        <v>93</v>
      </c>
      <c r="P55">
        <v>3843</v>
      </c>
    </row>
    <row r="56" spans="1:16" x14ac:dyDescent="0.25">
      <c r="A56" s="12" t="s">
        <v>73</v>
      </c>
      <c r="B56">
        <v>4082</v>
      </c>
      <c r="F56" s="21"/>
      <c r="G56" s="22"/>
      <c r="H56" s="23"/>
      <c r="I56" s="12" t="s">
        <v>54</v>
      </c>
      <c r="J56">
        <v>1246</v>
      </c>
      <c r="O56" t="s">
        <v>43</v>
      </c>
      <c r="P56">
        <v>3759</v>
      </c>
    </row>
    <row r="57" spans="1:16" x14ac:dyDescent="0.25">
      <c r="A57" s="15" t="s">
        <v>33</v>
      </c>
      <c r="B57">
        <v>4082</v>
      </c>
      <c r="F57" s="21"/>
      <c r="G57" s="22"/>
      <c r="H57" s="23"/>
      <c r="I57" s="12" t="s">
        <v>120</v>
      </c>
      <c r="J57">
        <v>1320</v>
      </c>
      <c r="O57" t="s">
        <v>66</v>
      </c>
      <c r="P57">
        <v>3486</v>
      </c>
    </row>
    <row r="58" spans="1:16" x14ac:dyDescent="0.25">
      <c r="A58" s="12" t="s">
        <v>65</v>
      </c>
      <c r="B58">
        <v>3645</v>
      </c>
      <c r="F58" s="21"/>
      <c r="G58" s="22"/>
      <c r="H58" s="23"/>
      <c r="I58" s="12" t="s">
        <v>87</v>
      </c>
      <c r="J58">
        <v>1743</v>
      </c>
      <c r="O58" t="s">
        <v>58</v>
      </c>
      <c r="P58">
        <v>2793</v>
      </c>
    </row>
    <row r="59" spans="1:16" x14ac:dyDescent="0.25">
      <c r="A59" s="15" t="s">
        <v>17</v>
      </c>
      <c r="B59">
        <v>3645</v>
      </c>
      <c r="F59" s="21"/>
      <c r="G59" s="22"/>
      <c r="H59" s="23"/>
      <c r="I59" s="12" t="s">
        <v>129</v>
      </c>
      <c r="J59">
        <v>1788</v>
      </c>
      <c r="O59" t="s">
        <v>90</v>
      </c>
      <c r="P59">
        <v>2520</v>
      </c>
    </row>
    <row r="60" spans="1:16" x14ac:dyDescent="0.25">
      <c r="A60" s="12" t="s">
        <v>32</v>
      </c>
      <c r="B60">
        <v>3484</v>
      </c>
      <c r="F60" s="21"/>
      <c r="G60" s="22"/>
      <c r="H60" s="23"/>
      <c r="I60" s="12" t="s">
        <v>27</v>
      </c>
      <c r="J60">
        <v>1806</v>
      </c>
      <c r="O60" t="s">
        <v>49</v>
      </c>
      <c r="P60">
        <v>2443</v>
      </c>
    </row>
    <row r="61" spans="1:16" x14ac:dyDescent="0.25">
      <c r="A61" s="15" t="s">
        <v>33</v>
      </c>
      <c r="B61">
        <v>3484</v>
      </c>
      <c r="F61" s="21"/>
      <c r="G61" s="22"/>
      <c r="H61" s="23"/>
      <c r="I61" s="12" t="s">
        <v>563</v>
      </c>
      <c r="J61">
        <v>13696</v>
      </c>
      <c r="O61" t="s">
        <v>108</v>
      </c>
      <c r="P61">
        <v>2148</v>
      </c>
    </row>
    <row r="62" spans="1:16" x14ac:dyDescent="0.25">
      <c r="A62" s="12" t="s">
        <v>563</v>
      </c>
      <c r="B62">
        <v>115223</v>
      </c>
      <c r="F62" s="21"/>
      <c r="G62" s="22"/>
      <c r="H62" s="23"/>
      <c r="O62" t="s">
        <v>27</v>
      </c>
      <c r="P62">
        <v>1806</v>
      </c>
    </row>
    <row r="63" spans="1:16" x14ac:dyDescent="0.25">
      <c r="F63" s="21"/>
      <c r="G63" s="22"/>
      <c r="H63" s="23"/>
      <c r="O63" t="s">
        <v>129</v>
      </c>
      <c r="P63">
        <v>1788</v>
      </c>
    </row>
    <row r="64" spans="1:16" x14ac:dyDescent="0.25">
      <c r="A64" s="11" t="s">
        <v>562</v>
      </c>
      <c r="B64" t="s">
        <v>627</v>
      </c>
      <c r="F64" s="24"/>
      <c r="G64" s="25"/>
      <c r="H64" s="26"/>
      <c r="O64" t="s">
        <v>87</v>
      </c>
      <c r="P64">
        <v>1743</v>
      </c>
    </row>
    <row r="65" spans="1:16" x14ac:dyDescent="0.25">
      <c r="A65" s="12" t="s">
        <v>28</v>
      </c>
      <c r="B65">
        <v>67</v>
      </c>
      <c r="O65" t="s">
        <v>120</v>
      </c>
      <c r="P65">
        <v>1320</v>
      </c>
    </row>
    <row r="66" spans="1:16" x14ac:dyDescent="0.25">
      <c r="A66" s="12" t="s">
        <v>36</v>
      </c>
      <c r="B66">
        <v>66</v>
      </c>
      <c r="O66" t="s">
        <v>54</v>
      </c>
      <c r="P66">
        <v>1246</v>
      </c>
    </row>
    <row r="67" spans="1:16" x14ac:dyDescent="0.25">
      <c r="A67" s="12" t="s">
        <v>20</v>
      </c>
      <c r="B67">
        <v>67</v>
      </c>
      <c r="O67" t="s">
        <v>126</v>
      </c>
      <c r="P67">
        <v>1110</v>
      </c>
    </row>
    <row r="68" spans="1:16" x14ac:dyDescent="0.25">
      <c r="A68" s="12" t="s">
        <v>563</v>
      </c>
      <c r="B68">
        <v>200</v>
      </c>
      <c r="D68" s="11" t="s">
        <v>562</v>
      </c>
      <c r="E68" t="s">
        <v>626</v>
      </c>
      <c r="O68" t="s">
        <v>123</v>
      </c>
      <c r="P68">
        <v>894</v>
      </c>
    </row>
    <row r="69" spans="1:16" x14ac:dyDescent="0.25">
      <c r="D69" s="12" t="s">
        <v>52</v>
      </c>
      <c r="E69">
        <v>33</v>
      </c>
      <c r="O69" t="s">
        <v>81</v>
      </c>
      <c r="P69">
        <v>875</v>
      </c>
    </row>
    <row r="70" spans="1:16" x14ac:dyDescent="0.25">
      <c r="D70" s="15" t="s">
        <v>36</v>
      </c>
      <c r="E70">
        <v>33</v>
      </c>
      <c r="O70" t="s">
        <v>74</v>
      </c>
      <c r="P70">
        <v>665</v>
      </c>
    </row>
    <row r="71" spans="1:16" x14ac:dyDescent="0.25">
      <c r="A71" s="103" t="e" vm="1">
        <v>#VALUE!</v>
      </c>
      <c r="D71" s="12" t="s">
        <v>15</v>
      </c>
      <c r="E71">
        <v>34</v>
      </c>
      <c r="O71" t="s">
        <v>35</v>
      </c>
      <c r="P71">
        <v>616</v>
      </c>
    </row>
    <row r="72" spans="1:16" x14ac:dyDescent="0.25">
      <c r="D72" s="15" t="s">
        <v>20</v>
      </c>
      <c r="E72">
        <v>34</v>
      </c>
      <c r="O72" t="s">
        <v>19</v>
      </c>
      <c r="P72">
        <v>553</v>
      </c>
    </row>
    <row r="73" spans="1:16" x14ac:dyDescent="0.25">
      <c r="D73" s="12" t="s">
        <v>23</v>
      </c>
      <c r="E73">
        <v>34</v>
      </c>
      <c r="O73" t="s">
        <v>105</v>
      </c>
      <c r="P73">
        <v>390</v>
      </c>
    </row>
    <row r="74" spans="1:16" x14ac:dyDescent="0.25">
      <c r="D74" s="15" t="s">
        <v>28</v>
      </c>
      <c r="E74">
        <v>34</v>
      </c>
      <c r="O74" t="s">
        <v>96</v>
      </c>
      <c r="P74">
        <v>294</v>
      </c>
    </row>
    <row r="75" spans="1:16" x14ac:dyDescent="0.25">
      <c r="D75" s="12" t="s">
        <v>31</v>
      </c>
      <c r="E75">
        <v>33</v>
      </c>
      <c r="O75" t="s">
        <v>111</v>
      </c>
      <c r="P75">
        <v>228</v>
      </c>
    </row>
    <row r="76" spans="1:16" x14ac:dyDescent="0.25">
      <c r="D76" s="15" t="s">
        <v>36</v>
      </c>
      <c r="E76">
        <v>33</v>
      </c>
      <c r="O76" t="s">
        <v>62</v>
      </c>
      <c r="P76">
        <v>168</v>
      </c>
    </row>
    <row r="77" spans="1:16" x14ac:dyDescent="0.25">
      <c r="D77" s="12" t="s">
        <v>39</v>
      </c>
      <c r="E77">
        <v>33</v>
      </c>
    </row>
    <row r="78" spans="1:16" x14ac:dyDescent="0.25">
      <c r="A78" s="11" t="s">
        <v>562</v>
      </c>
      <c r="B78" t="s">
        <v>637</v>
      </c>
      <c r="D78" s="15" t="s">
        <v>20</v>
      </c>
      <c r="E78">
        <v>33</v>
      </c>
    </row>
    <row r="79" spans="1:16" x14ac:dyDescent="0.25">
      <c r="A79" s="12" t="s">
        <v>120</v>
      </c>
      <c r="B79">
        <v>6</v>
      </c>
      <c r="D79" s="12" t="s">
        <v>46</v>
      </c>
      <c r="E79">
        <v>33</v>
      </c>
    </row>
    <row r="80" spans="1:16" x14ac:dyDescent="0.25">
      <c r="A80" s="12" t="s">
        <v>87</v>
      </c>
      <c r="B80">
        <v>7</v>
      </c>
      <c r="D80" s="15" t="s">
        <v>28</v>
      </c>
      <c r="E80">
        <v>33</v>
      </c>
      <c r="F80" s="11" t="s">
        <v>562</v>
      </c>
      <c r="G80" t="s">
        <v>564</v>
      </c>
      <c r="I80" s="11" t="s">
        <v>562</v>
      </c>
      <c r="J80" s="11" t="s">
        <v>562</v>
      </c>
    </row>
    <row r="81" spans="1:10" x14ac:dyDescent="0.25">
      <c r="A81" s="12" t="s">
        <v>99</v>
      </c>
      <c r="B81">
        <v>7</v>
      </c>
      <c r="D81" s="12" t="s">
        <v>563</v>
      </c>
      <c r="E81">
        <v>200</v>
      </c>
      <c r="F81" s="12" t="s">
        <v>240</v>
      </c>
      <c r="G81">
        <v>4527</v>
      </c>
      <c r="I81" s="12" t="s">
        <v>120</v>
      </c>
      <c r="J81" s="12" t="s">
        <v>120</v>
      </c>
    </row>
    <row r="82" spans="1:10" x14ac:dyDescent="0.25">
      <c r="A82" s="12" t="s">
        <v>111</v>
      </c>
      <c r="B82">
        <v>6</v>
      </c>
      <c r="F82" s="15" t="s">
        <v>96</v>
      </c>
      <c r="G82">
        <v>42</v>
      </c>
      <c r="I82" s="15" t="s">
        <v>184</v>
      </c>
      <c r="J82" s="15" t="s">
        <v>184</v>
      </c>
    </row>
    <row r="83" spans="1:10" x14ac:dyDescent="0.25">
      <c r="A83" s="12" t="s">
        <v>70</v>
      </c>
      <c r="B83">
        <v>7</v>
      </c>
      <c r="F83" s="15" t="s">
        <v>114</v>
      </c>
      <c r="G83">
        <v>4485</v>
      </c>
      <c r="I83" s="15" t="s">
        <v>22</v>
      </c>
      <c r="J83" s="15" t="s">
        <v>22</v>
      </c>
    </row>
    <row r="84" spans="1:10" x14ac:dyDescent="0.25">
      <c r="A84" s="12" t="s">
        <v>81</v>
      </c>
      <c r="B84">
        <v>7</v>
      </c>
      <c r="F84" s="12" t="s">
        <v>131</v>
      </c>
      <c r="G84">
        <v>5526</v>
      </c>
      <c r="I84" s="15" t="s">
        <v>136</v>
      </c>
      <c r="J84" s="15" t="s">
        <v>136</v>
      </c>
    </row>
    <row r="85" spans="1:10" x14ac:dyDescent="0.25">
      <c r="A85" s="12" t="s">
        <v>78</v>
      </c>
      <c r="B85">
        <v>7</v>
      </c>
      <c r="F85" s="12" t="s">
        <v>192</v>
      </c>
      <c r="G85">
        <v>5484</v>
      </c>
      <c r="I85" s="15" t="s">
        <v>196</v>
      </c>
      <c r="J85" s="15" t="s">
        <v>196</v>
      </c>
    </row>
    <row r="86" spans="1:10" x14ac:dyDescent="0.25">
      <c r="A86" s="12" t="s">
        <v>96</v>
      </c>
      <c r="B86">
        <v>7</v>
      </c>
      <c r="F86" s="15" t="s">
        <v>132</v>
      </c>
      <c r="G86">
        <v>999</v>
      </c>
      <c r="I86" s="15" t="s">
        <v>60</v>
      </c>
      <c r="J86" s="15" t="s">
        <v>60</v>
      </c>
    </row>
    <row r="87" spans="1:10" x14ac:dyDescent="0.25">
      <c r="A87" s="12" t="s">
        <v>129</v>
      </c>
      <c r="B87">
        <v>6</v>
      </c>
      <c r="F87" s="15" t="s">
        <v>114</v>
      </c>
      <c r="G87">
        <v>4485</v>
      </c>
      <c r="I87" s="15" t="s">
        <v>119</v>
      </c>
      <c r="J87" s="15" t="s">
        <v>119</v>
      </c>
    </row>
    <row r="88" spans="1:10" x14ac:dyDescent="0.25">
      <c r="A88" s="12" t="s">
        <v>84</v>
      </c>
      <c r="B88">
        <v>7</v>
      </c>
      <c r="F88" s="12" t="s">
        <v>51</v>
      </c>
      <c r="G88">
        <v>5662</v>
      </c>
      <c r="I88" s="12" t="s">
        <v>87</v>
      </c>
      <c r="J88" s="12" t="s">
        <v>87</v>
      </c>
    </row>
    <row r="89" spans="1:10" x14ac:dyDescent="0.25">
      <c r="A89" s="12" t="s">
        <v>27</v>
      </c>
      <c r="B89">
        <v>7</v>
      </c>
      <c r="F89" s="15" t="s">
        <v>132</v>
      </c>
      <c r="G89">
        <v>999</v>
      </c>
      <c r="I89" s="15" t="s">
        <v>86</v>
      </c>
      <c r="J89" s="15" t="s">
        <v>86</v>
      </c>
    </row>
    <row r="90" spans="1:10" x14ac:dyDescent="0.25">
      <c r="A90" s="12" t="s">
        <v>132</v>
      </c>
      <c r="B90">
        <v>6</v>
      </c>
      <c r="F90" s="15" t="s">
        <v>54</v>
      </c>
      <c r="G90">
        <v>178</v>
      </c>
      <c r="I90" s="15" t="s">
        <v>162</v>
      </c>
      <c r="J90" s="15" t="s">
        <v>162</v>
      </c>
    </row>
    <row r="91" spans="1:10" x14ac:dyDescent="0.25">
      <c r="A91" s="12" t="s">
        <v>90</v>
      </c>
      <c r="B91">
        <v>7</v>
      </c>
      <c r="F91" s="15" t="s">
        <v>114</v>
      </c>
      <c r="G91">
        <v>4485</v>
      </c>
      <c r="I91" s="15" t="s">
        <v>222</v>
      </c>
      <c r="J91" s="15" t="s">
        <v>222</v>
      </c>
    </row>
    <row r="92" spans="1:10" x14ac:dyDescent="0.25">
      <c r="A92" s="12" t="s">
        <v>108</v>
      </c>
      <c r="B92">
        <v>6</v>
      </c>
      <c r="F92" s="12" t="s">
        <v>144</v>
      </c>
      <c r="G92">
        <v>1177</v>
      </c>
      <c r="I92" s="15" t="s">
        <v>104</v>
      </c>
      <c r="J92" s="15" t="s">
        <v>104</v>
      </c>
    </row>
    <row r="93" spans="1:10" x14ac:dyDescent="0.25">
      <c r="A93" s="12" t="s">
        <v>58</v>
      </c>
      <c r="B93">
        <v>7</v>
      </c>
      <c r="F93" s="15" t="s">
        <v>132</v>
      </c>
      <c r="G93">
        <v>999</v>
      </c>
      <c r="I93" s="15" t="s">
        <v>174</v>
      </c>
      <c r="J93" s="15" t="s">
        <v>174</v>
      </c>
    </row>
    <row r="94" spans="1:10" x14ac:dyDescent="0.25">
      <c r="A94" s="12" t="s">
        <v>19</v>
      </c>
      <c r="B94">
        <v>7</v>
      </c>
      <c r="F94" s="15" t="s">
        <v>54</v>
      </c>
      <c r="G94">
        <v>178</v>
      </c>
      <c r="I94" s="15" t="s">
        <v>234</v>
      </c>
      <c r="J94" s="15" t="s">
        <v>234</v>
      </c>
    </row>
    <row r="95" spans="1:10" x14ac:dyDescent="0.25">
      <c r="A95" s="12" t="s">
        <v>62</v>
      </c>
      <c r="B95">
        <v>7</v>
      </c>
      <c r="F95" s="12" t="s">
        <v>204</v>
      </c>
      <c r="G95">
        <v>1177</v>
      </c>
      <c r="I95" s="15" t="s">
        <v>122</v>
      </c>
      <c r="J95" s="15" t="s">
        <v>122</v>
      </c>
    </row>
    <row r="96" spans="1:10" x14ac:dyDescent="0.25">
      <c r="A96" s="12" t="s">
        <v>117</v>
      </c>
      <c r="B96">
        <v>6</v>
      </c>
      <c r="F96" s="15" t="s">
        <v>132</v>
      </c>
      <c r="G96">
        <v>999</v>
      </c>
      <c r="I96" s="12" t="s">
        <v>99</v>
      </c>
      <c r="J96" s="12" t="s">
        <v>99</v>
      </c>
    </row>
    <row r="97" spans="1:10" x14ac:dyDescent="0.25">
      <c r="A97" s="12" t="s">
        <v>54</v>
      </c>
      <c r="B97">
        <v>7</v>
      </c>
      <c r="F97" s="15" t="s">
        <v>54</v>
      </c>
      <c r="G97">
        <v>178</v>
      </c>
      <c r="I97" s="15" t="s">
        <v>14</v>
      </c>
      <c r="J97" s="15" t="s">
        <v>14</v>
      </c>
    </row>
    <row r="98" spans="1:10" x14ac:dyDescent="0.25">
      <c r="A98" s="12" t="s">
        <v>123</v>
      </c>
      <c r="B98">
        <v>6</v>
      </c>
      <c r="F98" s="12" t="s">
        <v>76</v>
      </c>
      <c r="G98">
        <v>2275</v>
      </c>
      <c r="I98" s="15" t="s">
        <v>134</v>
      </c>
      <c r="J98" s="15" t="s">
        <v>134</v>
      </c>
    </row>
    <row r="99" spans="1:10" x14ac:dyDescent="0.25">
      <c r="A99" s="12" t="s">
        <v>114</v>
      </c>
      <c r="B99">
        <v>6</v>
      </c>
      <c r="F99" s="15" t="s">
        <v>78</v>
      </c>
      <c r="G99">
        <v>1098</v>
      </c>
      <c r="I99" s="15" t="s">
        <v>98</v>
      </c>
      <c r="J99" s="15" t="s">
        <v>98</v>
      </c>
    </row>
    <row r="100" spans="1:10" x14ac:dyDescent="0.25">
      <c r="A100" s="12" t="s">
        <v>74</v>
      </c>
      <c r="B100">
        <v>7</v>
      </c>
      <c r="F100" s="15" t="s">
        <v>132</v>
      </c>
      <c r="G100">
        <v>999</v>
      </c>
      <c r="I100" s="15" t="s">
        <v>170</v>
      </c>
      <c r="J100" s="15" t="s">
        <v>170</v>
      </c>
    </row>
    <row r="101" spans="1:10" x14ac:dyDescent="0.25">
      <c r="A101" s="12" t="s">
        <v>102</v>
      </c>
      <c r="B101">
        <v>7</v>
      </c>
      <c r="F101" s="15" t="s">
        <v>54</v>
      </c>
      <c r="G101">
        <v>178</v>
      </c>
      <c r="I101" s="15" t="s">
        <v>230</v>
      </c>
      <c r="J101" s="15" t="s">
        <v>230</v>
      </c>
    </row>
    <row r="102" spans="1:10" x14ac:dyDescent="0.25">
      <c r="A102" s="12" t="s">
        <v>126</v>
      </c>
      <c r="B102">
        <v>6</v>
      </c>
      <c r="F102" s="12" t="s">
        <v>156</v>
      </c>
      <c r="G102">
        <v>1276</v>
      </c>
      <c r="I102" s="15" t="s">
        <v>116</v>
      </c>
      <c r="J102" s="15" t="s">
        <v>116</v>
      </c>
    </row>
    <row r="103" spans="1:10" x14ac:dyDescent="0.25">
      <c r="A103" s="12" t="s">
        <v>49</v>
      </c>
      <c r="B103">
        <v>7</v>
      </c>
      <c r="F103" s="15" t="s">
        <v>78</v>
      </c>
      <c r="G103">
        <v>1098</v>
      </c>
      <c r="I103" s="15" t="s">
        <v>182</v>
      </c>
      <c r="J103" s="15" t="s">
        <v>182</v>
      </c>
    </row>
    <row r="104" spans="1:10" x14ac:dyDescent="0.25">
      <c r="A104" s="12" t="s">
        <v>35</v>
      </c>
      <c r="B104">
        <v>7</v>
      </c>
      <c r="F104" s="15" t="s">
        <v>54</v>
      </c>
      <c r="G104">
        <v>178</v>
      </c>
      <c r="I104" s="12" t="s">
        <v>111</v>
      </c>
      <c r="J104" s="12" t="s">
        <v>111</v>
      </c>
    </row>
    <row r="105" spans="1:10" x14ac:dyDescent="0.25">
      <c r="A105" s="12" t="s">
        <v>43</v>
      </c>
      <c r="B105">
        <v>7</v>
      </c>
      <c r="F105" s="12" t="s">
        <v>216</v>
      </c>
      <c r="G105">
        <v>1276</v>
      </c>
      <c r="I105" s="15" t="s">
        <v>128</v>
      </c>
      <c r="J105" s="15" t="s">
        <v>128</v>
      </c>
    </row>
    <row r="106" spans="1:10" x14ac:dyDescent="0.25">
      <c r="A106" s="12" t="s">
        <v>93</v>
      </c>
      <c r="B106">
        <v>7</v>
      </c>
      <c r="F106" s="15" t="s">
        <v>78</v>
      </c>
      <c r="G106">
        <v>1098</v>
      </c>
      <c r="I106" s="15" t="s">
        <v>190</v>
      </c>
      <c r="J106" s="15" t="s">
        <v>190</v>
      </c>
    </row>
    <row r="107" spans="1:10" x14ac:dyDescent="0.25">
      <c r="A107" s="12" t="s">
        <v>66</v>
      </c>
      <c r="B107">
        <v>7</v>
      </c>
      <c r="F107" s="15" t="s">
        <v>54</v>
      </c>
      <c r="G107">
        <v>178</v>
      </c>
      <c r="I107" s="15" t="s">
        <v>45</v>
      </c>
      <c r="J107" s="15" t="s">
        <v>45</v>
      </c>
    </row>
    <row r="108" spans="1:10" x14ac:dyDescent="0.25">
      <c r="A108" s="12" t="s">
        <v>105</v>
      </c>
      <c r="B108">
        <v>6</v>
      </c>
      <c r="F108" s="12" t="s">
        <v>95</v>
      </c>
      <c r="G108">
        <v>1318</v>
      </c>
      <c r="I108" s="15" t="s">
        <v>110</v>
      </c>
      <c r="J108" s="15" t="s">
        <v>110</v>
      </c>
    </row>
    <row r="109" spans="1:10" x14ac:dyDescent="0.25">
      <c r="A109" s="12" t="s">
        <v>563</v>
      </c>
      <c r="B109">
        <v>200</v>
      </c>
      <c r="F109" s="15" t="s">
        <v>78</v>
      </c>
      <c r="G109">
        <v>1098</v>
      </c>
      <c r="I109" s="15" t="s">
        <v>178</v>
      </c>
      <c r="J109" s="15" t="s">
        <v>178</v>
      </c>
    </row>
    <row r="110" spans="1:10" x14ac:dyDescent="0.25">
      <c r="F110" s="15" t="s">
        <v>96</v>
      </c>
      <c r="G110">
        <v>42</v>
      </c>
      <c r="I110" s="15" t="s">
        <v>238</v>
      </c>
      <c r="J110" s="15" t="s">
        <v>238</v>
      </c>
    </row>
    <row r="111" spans="1:10" x14ac:dyDescent="0.25">
      <c r="F111" s="15" t="s">
        <v>54</v>
      </c>
      <c r="G111">
        <v>178</v>
      </c>
      <c r="I111" s="12" t="s">
        <v>70</v>
      </c>
      <c r="J111" s="12" t="s">
        <v>70</v>
      </c>
    </row>
    <row r="112" spans="1:10" x14ac:dyDescent="0.25">
      <c r="F112" s="12" t="s">
        <v>168</v>
      </c>
      <c r="G112">
        <v>1140</v>
      </c>
      <c r="I112" s="15" t="s">
        <v>68</v>
      </c>
      <c r="J112" s="15" t="s">
        <v>68</v>
      </c>
    </row>
    <row r="113" spans="6:10" x14ac:dyDescent="0.25">
      <c r="F113" s="15" t="s">
        <v>78</v>
      </c>
      <c r="G113">
        <v>1098</v>
      </c>
      <c r="I113" s="15" t="s">
        <v>152</v>
      </c>
      <c r="J113" s="15" t="s">
        <v>152</v>
      </c>
    </row>
    <row r="114" spans="6:10" x14ac:dyDescent="0.25">
      <c r="F114" s="15" t="s">
        <v>96</v>
      </c>
      <c r="G114">
        <v>42</v>
      </c>
      <c r="I114" s="15" t="s">
        <v>212</v>
      </c>
      <c r="J114" s="15" t="s">
        <v>212</v>
      </c>
    </row>
    <row r="115" spans="6:10" x14ac:dyDescent="0.25">
      <c r="F115" s="12" t="s">
        <v>228</v>
      </c>
      <c r="G115">
        <v>1140</v>
      </c>
      <c r="I115" s="15" t="s">
        <v>89</v>
      </c>
      <c r="J115" s="15" t="s">
        <v>89</v>
      </c>
    </row>
    <row r="116" spans="6:10" x14ac:dyDescent="0.25">
      <c r="F116" s="15" t="s">
        <v>78</v>
      </c>
      <c r="G116">
        <v>1098</v>
      </c>
      <c r="I116" s="15" t="s">
        <v>164</v>
      </c>
      <c r="J116" s="15" t="s">
        <v>164</v>
      </c>
    </row>
    <row r="117" spans="6:10" x14ac:dyDescent="0.25">
      <c r="F117" s="15" t="s">
        <v>96</v>
      </c>
      <c r="G117">
        <v>42</v>
      </c>
      <c r="I117" s="15" t="s">
        <v>224</v>
      </c>
      <c r="J117" s="15" t="s">
        <v>224</v>
      </c>
    </row>
    <row r="118" spans="6:10" x14ac:dyDescent="0.25">
      <c r="F118" s="12" t="s">
        <v>113</v>
      </c>
      <c r="G118">
        <v>5625</v>
      </c>
      <c r="I118" s="15" t="s">
        <v>107</v>
      </c>
      <c r="J118" s="15" t="s">
        <v>107</v>
      </c>
    </row>
    <row r="119" spans="6:10" x14ac:dyDescent="0.25">
      <c r="F119" s="15" t="s">
        <v>78</v>
      </c>
      <c r="G119">
        <v>1098</v>
      </c>
      <c r="I119" s="12" t="s">
        <v>81</v>
      </c>
      <c r="J119" s="12" t="s">
        <v>81</v>
      </c>
    </row>
    <row r="120" spans="6:10" x14ac:dyDescent="0.25">
      <c r="F120" s="15" t="s">
        <v>96</v>
      </c>
      <c r="G120">
        <v>42</v>
      </c>
      <c r="I120" s="15" t="s">
        <v>80</v>
      </c>
      <c r="J120" s="15" t="s">
        <v>80</v>
      </c>
    </row>
    <row r="121" spans="6:10" x14ac:dyDescent="0.25">
      <c r="F121" s="15" t="s">
        <v>114</v>
      </c>
      <c r="G121">
        <v>4485</v>
      </c>
      <c r="I121" s="15" t="s">
        <v>158</v>
      </c>
      <c r="J121" s="15" t="s">
        <v>158</v>
      </c>
    </row>
    <row r="122" spans="6:10" x14ac:dyDescent="0.25">
      <c r="F122" s="12" t="s">
        <v>180</v>
      </c>
      <c r="G122">
        <v>4527</v>
      </c>
      <c r="I122" s="15" t="s">
        <v>218</v>
      </c>
      <c r="J122" s="15" t="s">
        <v>218</v>
      </c>
    </row>
    <row r="123" spans="6:10" x14ac:dyDescent="0.25">
      <c r="F123" s="15" t="s">
        <v>96</v>
      </c>
      <c r="G123">
        <v>42</v>
      </c>
      <c r="I123" s="15" t="s">
        <v>98</v>
      </c>
      <c r="J123" s="15" t="s">
        <v>98</v>
      </c>
    </row>
    <row r="124" spans="6:10" x14ac:dyDescent="0.25">
      <c r="F124" s="15" t="s">
        <v>114</v>
      </c>
      <c r="G124">
        <v>4485</v>
      </c>
      <c r="I124" s="15" t="s">
        <v>170</v>
      </c>
      <c r="J124" s="15" t="s">
        <v>170</v>
      </c>
    </row>
    <row r="125" spans="6:10" x14ac:dyDescent="0.25">
      <c r="F125" s="12" t="s">
        <v>14</v>
      </c>
      <c r="G125">
        <v>2776</v>
      </c>
      <c r="I125" s="15" t="s">
        <v>230</v>
      </c>
      <c r="J125" s="15" t="s">
        <v>230</v>
      </c>
    </row>
    <row r="126" spans="6:10" x14ac:dyDescent="0.25">
      <c r="F126" s="15" t="s">
        <v>99</v>
      </c>
      <c r="G126">
        <v>698</v>
      </c>
      <c r="I126" s="15" t="s">
        <v>116</v>
      </c>
      <c r="J126" s="15" t="s">
        <v>116</v>
      </c>
    </row>
    <row r="127" spans="6:10" x14ac:dyDescent="0.25">
      <c r="F127" s="15" t="s">
        <v>19</v>
      </c>
      <c r="G127">
        <v>79</v>
      </c>
      <c r="I127" s="12" t="s">
        <v>78</v>
      </c>
      <c r="J127" s="12" t="s">
        <v>78</v>
      </c>
    </row>
    <row r="128" spans="6:10" x14ac:dyDescent="0.25">
      <c r="F128" s="15" t="s">
        <v>117</v>
      </c>
      <c r="G128">
        <v>1999</v>
      </c>
      <c r="I128" s="15" t="s">
        <v>76</v>
      </c>
      <c r="J128" s="15" t="s">
        <v>76</v>
      </c>
    </row>
    <row r="129" spans="6:10" x14ac:dyDescent="0.25">
      <c r="F129" s="12" t="s">
        <v>134</v>
      </c>
      <c r="G129">
        <v>2776</v>
      </c>
      <c r="I129" s="15" t="s">
        <v>156</v>
      </c>
      <c r="J129" s="15" t="s">
        <v>156</v>
      </c>
    </row>
    <row r="130" spans="6:10" x14ac:dyDescent="0.25">
      <c r="F130" s="15" t="s">
        <v>99</v>
      </c>
      <c r="G130">
        <v>698</v>
      </c>
      <c r="I130" s="15" t="s">
        <v>216</v>
      </c>
      <c r="J130" s="15" t="s">
        <v>216</v>
      </c>
    </row>
    <row r="131" spans="6:10" x14ac:dyDescent="0.25">
      <c r="F131" s="15" t="s">
        <v>19</v>
      </c>
      <c r="G131">
        <v>79</v>
      </c>
      <c r="I131" s="15" t="s">
        <v>95</v>
      </c>
      <c r="J131" s="15" t="s">
        <v>95</v>
      </c>
    </row>
    <row r="132" spans="6:10" x14ac:dyDescent="0.25">
      <c r="F132" s="15" t="s">
        <v>117</v>
      </c>
      <c r="G132">
        <v>1999</v>
      </c>
      <c r="I132" s="15" t="s">
        <v>168</v>
      </c>
      <c r="J132" s="15" t="s">
        <v>168</v>
      </c>
    </row>
    <row r="133" spans="6:10" x14ac:dyDescent="0.25">
      <c r="F133" s="12" t="s">
        <v>194</v>
      </c>
      <c r="G133">
        <v>2078</v>
      </c>
      <c r="I133" s="15" t="s">
        <v>228</v>
      </c>
      <c r="J133" s="15" t="s">
        <v>228</v>
      </c>
    </row>
    <row r="134" spans="6:10" x14ac:dyDescent="0.25">
      <c r="F134" s="15" t="s">
        <v>19</v>
      </c>
      <c r="G134">
        <v>79</v>
      </c>
      <c r="I134" s="15" t="s">
        <v>113</v>
      </c>
      <c r="J134" s="15" t="s">
        <v>113</v>
      </c>
    </row>
    <row r="135" spans="6:10" x14ac:dyDescent="0.25">
      <c r="F135" s="15" t="s">
        <v>117</v>
      </c>
      <c r="G135">
        <v>1999</v>
      </c>
      <c r="I135" s="12" t="s">
        <v>96</v>
      </c>
      <c r="J135" s="12" t="s">
        <v>96</v>
      </c>
    </row>
    <row r="136" spans="6:10" x14ac:dyDescent="0.25">
      <c r="F136" s="12" t="s">
        <v>56</v>
      </c>
      <c r="G136">
        <v>2477</v>
      </c>
      <c r="I136" s="15" t="s">
        <v>240</v>
      </c>
      <c r="J136" s="15" t="s">
        <v>240</v>
      </c>
    </row>
    <row r="137" spans="6:10" x14ac:dyDescent="0.25">
      <c r="F137" s="15" t="s">
        <v>58</v>
      </c>
      <c r="G137">
        <v>399</v>
      </c>
      <c r="I137" s="15" t="s">
        <v>131</v>
      </c>
      <c r="J137" s="15" t="s">
        <v>131</v>
      </c>
    </row>
    <row r="138" spans="6:10" x14ac:dyDescent="0.25">
      <c r="F138" s="15" t="s">
        <v>19</v>
      </c>
      <c r="G138">
        <v>79</v>
      </c>
      <c r="I138" s="15" t="s">
        <v>95</v>
      </c>
      <c r="J138" s="15" t="s">
        <v>95</v>
      </c>
    </row>
    <row r="139" spans="6:10" x14ac:dyDescent="0.25">
      <c r="F139" s="15" t="s">
        <v>117</v>
      </c>
      <c r="G139">
        <v>1999</v>
      </c>
      <c r="I139" s="15" t="s">
        <v>168</v>
      </c>
      <c r="J139" s="15" t="s">
        <v>168</v>
      </c>
    </row>
    <row r="140" spans="6:10" x14ac:dyDescent="0.25">
      <c r="F140" s="12" t="s">
        <v>146</v>
      </c>
      <c r="G140">
        <v>478</v>
      </c>
      <c r="I140" s="15" t="s">
        <v>228</v>
      </c>
      <c r="J140" s="15" t="s">
        <v>228</v>
      </c>
    </row>
    <row r="141" spans="6:10" x14ac:dyDescent="0.25">
      <c r="F141" s="15" t="s">
        <v>58</v>
      </c>
      <c r="G141">
        <v>399</v>
      </c>
      <c r="I141" s="15" t="s">
        <v>113</v>
      </c>
      <c r="J141" s="15" t="s">
        <v>113</v>
      </c>
    </row>
    <row r="142" spans="6:10" x14ac:dyDescent="0.25">
      <c r="F142" s="15" t="s">
        <v>19</v>
      </c>
      <c r="G142">
        <v>79</v>
      </c>
      <c r="I142" s="15" t="s">
        <v>180</v>
      </c>
      <c r="J142" s="15" t="s">
        <v>180</v>
      </c>
    </row>
    <row r="143" spans="6:10" x14ac:dyDescent="0.25">
      <c r="F143" s="12" t="s">
        <v>206</v>
      </c>
      <c r="G143">
        <v>478</v>
      </c>
      <c r="I143" s="12" t="s">
        <v>129</v>
      </c>
      <c r="J143" s="12" t="s">
        <v>129</v>
      </c>
    </row>
    <row r="144" spans="6:10" x14ac:dyDescent="0.25">
      <c r="F144" s="15" t="s">
        <v>58</v>
      </c>
      <c r="G144">
        <v>399</v>
      </c>
      <c r="I144" s="15" t="s">
        <v>128</v>
      </c>
      <c r="J144" s="15" t="s">
        <v>128</v>
      </c>
    </row>
    <row r="145" spans="6:10" x14ac:dyDescent="0.25">
      <c r="F145" s="15" t="s">
        <v>19</v>
      </c>
      <c r="G145">
        <v>79</v>
      </c>
      <c r="I145" s="15" t="s">
        <v>190</v>
      </c>
      <c r="J145" s="15" t="s">
        <v>190</v>
      </c>
    </row>
    <row r="146" spans="6:10" x14ac:dyDescent="0.25">
      <c r="F146" s="12" t="s">
        <v>80</v>
      </c>
      <c r="G146">
        <v>603</v>
      </c>
      <c r="I146" s="15" t="s">
        <v>45</v>
      </c>
      <c r="J146" s="15" t="s">
        <v>45</v>
      </c>
    </row>
    <row r="147" spans="6:10" x14ac:dyDescent="0.25">
      <c r="F147" s="15" t="s">
        <v>81</v>
      </c>
      <c r="G147">
        <v>125</v>
      </c>
      <c r="I147" s="15" t="s">
        <v>142</v>
      </c>
      <c r="J147" s="15" t="s">
        <v>142</v>
      </c>
    </row>
    <row r="148" spans="6:10" x14ac:dyDescent="0.25">
      <c r="F148" s="15" t="s">
        <v>58</v>
      </c>
      <c r="G148">
        <v>399</v>
      </c>
      <c r="I148" s="15" t="s">
        <v>202</v>
      </c>
      <c r="J148" s="15" t="s">
        <v>202</v>
      </c>
    </row>
    <row r="149" spans="6:10" x14ac:dyDescent="0.25">
      <c r="F149" s="15" t="s">
        <v>19</v>
      </c>
      <c r="G149">
        <v>79</v>
      </c>
      <c r="I149" s="15" t="s">
        <v>72</v>
      </c>
      <c r="J149" s="15" t="s">
        <v>72</v>
      </c>
    </row>
    <row r="150" spans="6:10" x14ac:dyDescent="0.25">
      <c r="F150" s="12" t="s">
        <v>158</v>
      </c>
      <c r="G150">
        <v>524</v>
      </c>
      <c r="I150" s="12" t="s">
        <v>84</v>
      </c>
      <c r="J150" s="12" t="s">
        <v>84</v>
      </c>
    </row>
    <row r="151" spans="6:10" x14ac:dyDescent="0.25">
      <c r="F151" s="15" t="s">
        <v>81</v>
      </c>
      <c r="G151">
        <v>125</v>
      </c>
      <c r="I151" s="15" t="s">
        <v>83</v>
      </c>
      <c r="J151" s="15" t="s">
        <v>83</v>
      </c>
    </row>
    <row r="152" spans="6:10" x14ac:dyDescent="0.25">
      <c r="F152" s="15" t="s">
        <v>58</v>
      </c>
      <c r="G152">
        <v>399</v>
      </c>
      <c r="I152" s="15" t="s">
        <v>160</v>
      </c>
      <c r="J152" s="15" t="s">
        <v>160</v>
      </c>
    </row>
    <row r="153" spans="6:10" x14ac:dyDescent="0.25">
      <c r="F153" s="12" t="s">
        <v>218</v>
      </c>
      <c r="G153">
        <v>524</v>
      </c>
      <c r="I153" s="15" t="s">
        <v>220</v>
      </c>
      <c r="J153" s="15" t="s">
        <v>220</v>
      </c>
    </row>
    <row r="154" spans="6:10" x14ac:dyDescent="0.25">
      <c r="F154" s="15" t="s">
        <v>81</v>
      </c>
      <c r="G154">
        <v>125</v>
      </c>
      <c r="I154" s="15" t="s">
        <v>101</v>
      </c>
      <c r="J154" s="15" t="s">
        <v>101</v>
      </c>
    </row>
    <row r="155" spans="6:10" x14ac:dyDescent="0.25">
      <c r="F155" s="15" t="s">
        <v>58</v>
      </c>
      <c r="G155">
        <v>399</v>
      </c>
      <c r="I155" s="15" t="s">
        <v>172</v>
      </c>
      <c r="J155" s="15" t="s">
        <v>172</v>
      </c>
    </row>
    <row r="156" spans="6:10" x14ac:dyDescent="0.25">
      <c r="F156" s="12" t="s">
        <v>98</v>
      </c>
      <c r="G156">
        <v>1222</v>
      </c>
      <c r="I156" s="15" t="s">
        <v>232</v>
      </c>
      <c r="J156" s="15" t="s">
        <v>232</v>
      </c>
    </row>
    <row r="157" spans="6:10" x14ac:dyDescent="0.25">
      <c r="F157" s="15" t="s">
        <v>99</v>
      </c>
      <c r="G157">
        <v>698</v>
      </c>
      <c r="I157" s="15" t="s">
        <v>119</v>
      </c>
      <c r="J157" s="15" t="s">
        <v>119</v>
      </c>
    </row>
    <row r="158" spans="6:10" x14ac:dyDescent="0.25">
      <c r="F158" s="15" t="s">
        <v>81</v>
      </c>
      <c r="G158">
        <v>125</v>
      </c>
      <c r="I158" s="12" t="s">
        <v>27</v>
      </c>
      <c r="J158" s="12" t="s">
        <v>27</v>
      </c>
    </row>
    <row r="159" spans="6:10" x14ac:dyDescent="0.25">
      <c r="F159" s="15" t="s">
        <v>58</v>
      </c>
      <c r="G159">
        <v>399</v>
      </c>
      <c r="I159" s="15" t="s">
        <v>22</v>
      </c>
      <c r="J159" s="15" t="s">
        <v>22</v>
      </c>
    </row>
    <row r="160" spans="6:10" x14ac:dyDescent="0.25">
      <c r="F160" s="12" t="s">
        <v>170</v>
      </c>
      <c r="G160">
        <v>823</v>
      </c>
      <c r="I160" s="15" t="s">
        <v>136</v>
      </c>
      <c r="J160" s="15" t="s">
        <v>136</v>
      </c>
    </row>
    <row r="161" spans="6:10" x14ac:dyDescent="0.25">
      <c r="F161" s="15" t="s">
        <v>99</v>
      </c>
      <c r="G161">
        <v>698</v>
      </c>
      <c r="I161" s="15" t="s">
        <v>196</v>
      </c>
      <c r="J161" s="15" t="s">
        <v>196</v>
      </c>
    </row>
    <row r="162" spans="6:10" x14ac:dyDescent="0.25">
      <c r="F162" s="15" t="s">
        <v>81</v>
      </c>
      <c r="G162">
        <v>125</v>
      </c>
      <c r="I162" s="15" t="s">
        <v>60</v>
      </c>
      <c r="J162" s="15" t="s">
        <v>60</v>
      </c>
    </row>
    <row r="163" spans="6:10" x14ac:dyDescent="0.25">
      <c r="F163" s="12" t="s">
        <v>230</v>
      </c>
      <c r="G163">
        <v>823</v>
      </c>
      <c r="I163" s="15" t="s">
        <v>148</v>
      </c>
      <c r="J163" s="15" t="s">
        <v>148</v>
      </c>
    </row>
    <row r="164" spans="6:10" x14ac:dyDescent="0.25">
      <c r="F164" s="15" t="s">
        <v>99</v>
      </c>
      <c r="G164">
        <v>698</v>
      </c>
      <c r="I164" s="15" t="s">
        <v>208</v>
      </c>
      <c r="J164" s="15" t="s">
        <v>208</v>
      </c>
    </row>
    <row r="165" spans="6:10" x14ac:dyDescent="0.25">
      <c r="F165" s="15" t="s">
        <v>81</v>
      </c>
      <c r="G165">
        <v>125</v>
      </c>
      <c r="I165" s="15" t="s">
        <v>83</v>
      </c>
      <c r="J165" s="15" t="s">
        <v>83</v>
      </c>
    </row>
    <row r="166" spans="6:10" x14ac:dyDescent="0.25">
      <c r="F166" s="12" t="s">
        <v>116</v>
      </c>
      <c r="G166">
        <v>2822</v>
      </c>
      <c r="I166" s="12" t="s">
        <v>132</v>
      </c>
      <c r="J166" s="12" t="s">
        <v>132</v>
      </c>
    </row>
    <row r="167" spans="6:10" x14ac:dyDescent="0.25">
      <c r="F167" s="15" t="s">
        <v>99</v>
      </c>
      <c r="G167">
        <v>698</v>
      </c>
      <c r="I167" s="15" t="s">
        <v>131</v>
      </c>
      <c r="J167" s="15" t="s">
        <v>131</v>
      </c>
    </row>
    <row r="168" spans="6:10" x14ac:dyDescent="0.25">
      <c r="F168" s="15" t="s">
        <v>81</v>
      </c>
      <c r="G168">
        <v>125</v>
      </c>
      <c r="I168" s="15" t="s">
        <v>192</v>
      </c>
      <c r="J168" s="15" t="s">
        <v>192</v>
      </c>
    </row>
    <row r="169" spans="6:10" x14ac:dyDescent="0.25">
      <c r="F169" s="15" t="s">
        <v>117</v>
      </c>
      <c r="G169">
        <v>1999</v>
      </c>
      <c r="I169" s="15" t="s">
        <v>51</v>
      </c>
      <c r="J169" s="15" t="s">
        <v>51</v>
      </c>
    </row>
    <row r="170" spans="6:10" x14ac:dyDescent="0.25">
      <c r="F170" s="12" t="s">
        <v>182</v>
      </c>
      <c r="G170">
        <v>2697</v>
      </c>
      <c r="I170" s="15" t="s">
        <v>144</v>
      </c>
      <c r="J170" s="15" t="s">
        <v>144</v>
      </c>
    </row>
    <row r="171" spans="6:10" x14ac:dyDescent="0.25">
      <c r="F171" s="15" t="s">
        <v>99</v>
      </c>
      <c r="G171">
        <v>698</v>
      </c>
      <c r="I171" s="15" t="s">
        <v>204</v>
      </c>
      <c r="J171" s="15" t="s">
        <v>204</v>
      </c>
    </row>
    <row r="172" spans="6:10" x14ac:dyDescent="0.25">
      <c r="F172" s="15" t="s">
        <v>117</v>
      </c>
      <c r="G172">
        <v>1999</v>
      </c>
      <c r="I172" s="15" t="s">
        <v>76</v>
      </c>
      <c r="J172" s="15" t="s">
        <v>76</v>
      </c>
    </row>
    <row r="173" spans="6:10" x14ac:dyDescent="0.25">
      <c r="F173" s="12" t="s">
        <v>184</v>
      </c>
      <c r="G173">
        <v>1519</v>
      </c>
      <c r="I173" s="12" t="s">
        <v>90</v>
      </c>
      <c r="J173" s="12" t="s">
        <v>90</v>
      </c>
    </row>
    <row r="174" spans="6:10" x14ac:dyDescent="0.25">
      <c r="F174" s="15" t="s">
        <v>120</v>
      </c>
      <c r="G174">
        <v>220</v>
      </c>
      <c r="I174" s="15" t="s">
        <v>125</v>
      </c>
      <c r="J174" s="15" t="s">
        <v>125</v>
      </c>
    </row>
    <row r="175" spans="6:10" x14ac:dyDescent="0.25">
      <c r="F175" s="15" t="s">
        <v>102</v>
      </c>
      <c r="G175">
        <v>1299</v>
      </c>
      <c r="I175" s="15" t="s">
        <v>89</v>
      </c>
      <c r="J175" s="15" t="s">
        <v>89</v>
      </c>
    </row>
    <row r="176" spans="6:10" x14ac:dyDescent="0.25">
      <c r="F176" s="12" t="s">
        <v>22</v>
      </c>
      <c r="G176">
        <v>1777</v>
      </c>
      <c r="I176" s="15" t="s">
        <v>164</v>
      </c>
      <c r="J176" s="15" t="s">
        <v>164</v>
      </c>
    </row>
    <row r="177" spans="6:10" x14ac:dyDescent="0.25">
      <c r="F177" s="15" t="s">
        <v>120</v>
      </c>
      <c r="G177">
        <v>220</v>
      </c>
      <c r="I177" s="15" t="s">
        <v>224</v>
      </c>
      <c r="J177" s="15" t="s">
        <v>224</v>
      </c>
    </row>
    <row r="178" spans="6:10" x14ac:dyDescent="0.25">
      <c r="F178" s="15" t="s">
        <v>27</v>
      </c>
      <c r="G178">
        <v>258</v>
      </c>
      <c r="I178" s="15" t="s">
        <v>107</v>
      </c>
      <c r="J178" s="15" t="s">
        <v>107</v>
      </c>
    </row>
    <row r="179" spans="6:10" x14ac:dyDescent="0.25">
      <c r="F179" s="15" t="s">
        <v>102</v>
      </c>
      <c r="G179">
        <v>1299</v>
      </c>
      <c r="I179" s="15" t="s">
        <v>176</v>
      </c>
      <c r="J179" s="15" t="s">
        <v>176</v>
      </c>
    </row>
    <row r="180" spans="6:10" x14ac:dyDescent="0.25">
      <c r="F180" s="12" t="s">
        <v>136</v>
      </c>
      <c r="G180">
        <v>1777</v>
      </c>
      <c r="I180" s="15" t="s">
        <v>236</v>
      </c>
      <c r="J180" s="15" t="s">
        <v>236</v>
      </c>
    </row>
    <row r="181" spans="6:10" x14ac:dyDescent="0.25">
      <c r="F181" s="15" t="s">
        <v>120</v>
      </c>
      <c r="G181">
        <v>220</v>
      </c>
      <c r="I181" s="12" t="s">
        <v>108</v>
      </c>
      <c r="J181" s="12" t="s">
        <v>108</v>
      </c>
    </row>
    <row r="182" spans="6:10" x14ac:dyDescent="0.25">
      <c r="F182" s="15" t="s">
        <v>27</v>
      </c>
      <c r="G182">
        <v>258</v>
      </c>
      <c r="I182" s="15" t="s">
        <v>125</v>
      </c>
      <c r="J182" s="15" t="s">
        <v>125</v>
      </c>
    </row>
    <row r="183" spans="6:10" x14ac:dyDescent="0.25">
      <c r="F183" s="15" t="s">
        <v>102</v>
      </c>
      <c r="G183">
        <v>1299</v>
      </c>
      <c r="I183" s="15" t="s">
        <v>188</v>
      </c>
      <c r="J183" s="15" t="s">
        <v>188</v>
      </c>
    </row>
    <row r="184" spans="6:10" x14ac:dyDescent="0.25">
      <c r="F184" s="12" t="s">
        <v>196</v>
      </c>
      <c r="G184">
        <v>478</v>
      </c>
      <c r="I184" s="15" t="s">
        <v>38</v>
      </c>
      <c r="J184" s="15" t="s">
        <v>38</v>
      </c>
    </row>
    <row r="185" spans="6:10" x14ac:dyDescent="0.25">
      <c r="F185" s="15" t="s">
        <v>120</v>
      </c>
      <c r="G185">
        <v>220</v>
      </c>
      <c r="I185" s="15" t="s">
        <v>107</v>
      </c>
      <c r="J185" s="15" t="s">
        <v>107</v>
      </c>
    </row>
    <row r="186" spans="6:10" x14ac:dyDescent="0.25">
      <c r="F186" s="15" t="s">
        <v>27</v>
      </c>
      <c r="G186">
        <v>258</v>
      </c>
      <c r="I186" s="15" t="s">
        <v>176</v>
      </c>
      <c r="J186" s="15" t="s">
        <v>176</v>
      </c>
    </row>
    <row r="187" spans="6:10" x14ac:dyDescent="0.25">
      <c r="F187" s="12" t="s">
        <v>60</v>
      </c>
      <c r="G187">
        <v>502</v>
      </c>
      <c r="I187" s="15" t="s">
        <v>236</v>
      </c>
      <c r="J187" s="15" t="s">
        <v>236</v>
      </c>
    </row>
    <row r="188" spans="6:10" x14ac:dyDescent="0.25">
      <c r="F188" s="15" t="s">
        <v>120</v>
      </c>
      <c r="G188">
        <v>220</v>
      </c>
      <c r="I188" s="12" t="s">
        <v>58</v>
      </c>
      <c r="J188" s="12" t="s">
        <v>58</v>
      </c>
    </row>
    <row r="189" spans="6:10" x14ac:dyDescent="0.25">
      <c r="F189" s="15" t="s">
        <v>27</v>
      </c>
      <c r="G189">
        <v>258</v>
      </c>
      <c r="I189" s="15" t="s">
        <v>56</v>
      </c>
      <c r="J189" s="15" t="s">
        <v>56</v>
      </c>
    </row>
    <row r="190" spans="6:10" x14ac:dyDescent="0.25">
      <c r="F190" s="15" t="s">
        <v>62</v>
      </c>
      <c r="G190">
        <v>24</v>
      </c>
      <c r="I190" s="15" t="s">
        <v>146</v>
      </c>
      <c r="J190" s="15" t="s">
        <v>146</v>
      </c>
    </row>
    <row r="191" spans="6:10" x14ac:dyDescent="0.25">
      <c r="F191" s="12" t="s">
        <v>148</v>
      </c>
      <c r="G191">
        <v>282</v>
      </c>
      <c r="I191" s="15" t="s">
        <v>206</v>
      </c>
      <c r="J191" s="15" t="s">
        <v>206</v>
      </c>
    </row>
    <row r="192" spans="6:10" x14ac:dyDescent="0.25">
      <c r="F192" s="15" t="s">
        <v>27</v>
      </c>
      <c r="G192">
        <v>258</v>
      </c>
      <c r="I192" s="15" t="s">
        <v>80</v>
      </c>
      <c r="J192" s="15" t="s">
        <v>80</v>
      </c>
    </row>
    <row r="193" spans="6:10" x14ac:dyDescent="0.25">
      <c r="F193" s="15" t="s">
        <v>62</v>
      </c>
      <c r="G193">
        <v>24</v>
      </c>
      <c r="I193" s="15" t="s">
        <v>158</v>
      </c>
      <c r="J193" s="15" t="s">
        <v>158</v>
      </c>
    </row>
    <row r="194" spans="6:10" x14ac:dyDescent="0.25">
      <c r="F194" s="12" t="s">
        <v>208</v>
      </c>
      <c r="G194">
        <v>282</v>
      </c>
      <c r="I194" s="15" t="s">
        <v>218</v>
      </c>
      <c r="J194" s="15" t="s">
        <v>218</v>
      </c>
    </row>
    <row r="195" spans="6:10" x14ac:dyDescent="0.25">
      <c r="F195" s="15" t="s">
        <v>27</v>
      </c>
      <c r="G195">
        <v>258</v>
      </c>
      <c r="I195" s="15" t="s">
        <v>98</v>
      </c>
      <c r="J195" s="15" t="s">
        <v>98</v>
      </c>
    </row>
    <row r="196" spans="6:10" x14ac:dyDescent="0.25">
      <c r="F196" s="15" t="s">
        <v>62</v>
      </c>
      <c r="G196">
        <v>24</v>
      </c>
      <c r="I196" s="12" t="s">
        <v>19</v>
      </c>
      <c r="J196" s="12" t="s">
        <v>19</v>
      </c>
    </row>
    <row r="197" spans="6:10" x14ac:dyDescent="0.25">
      <c r="F197" s="12" t="s">
        <v>83</v>
      </c>
      <c r="G197">
        <v>1179</v>
      </c>
      <c r="I197" s="15" t="s">
        <v>14</v>
      </c>
      <c r="J197" s="15" t="s">
        <v>14</v>
      </c>
    </row>
    <row r="198" spans="6:10" x14ac:dyDescent="0.25">
      <c r="F198" s="15" t="s">
        <v>84</v>
      </c>
      <c r="G198">
        <v>897</v>
      </c>
      <c r="I198" s="15" t="s">
        <v>134</v>
      </c>
      <c r="J198" s="15" t="s">
        <v>134</v>
      </c>
    </row>
    <row r="199" spans="6:10" x14ac:dyDescent="0.25">
      <c r="F199" s="15" t="s">
        <v>27</v>
      </c>
      <c r="G199">
        <v>258</v>
      </c>
      <c r="I199" s="15" t="s">
        <v>194</v>
      </c>
      <c r="J199" s="15" t="s">
        <v>194</v>
      </c>
    </row>
    <row r="200" spans="6:10" x14ac:dyDescent="0.25">
      <c r="F200" s="15" t="s">
        <v>62</v>
      </c>
      <c r="G200">
        <v>24</v>
      </c>
      <c r="I200" s="15" t="s">
        <v>56</v>
      </c>
      <c r="J200" s="15" t="s">
        <v>56</v>
      </c>
    </row>
    <row r="201" spans="6:10" x14ac:dyDescent="0.25">
      <c r="F201" s="12" t="s">
        <v>160</v>
      </c>
      <c r="G201">
        <v>921</v>
      </c>
      <c r="I201" s="15" t="s">
        <v>146</v>
      </c>
      <c r="J201" s="15" t="s">
        <v>146</v>
      </c>
    </row>
    <row r="202" spans="6:10" x14ac:dyDescent="0.25">
      <c r="F202" s="15" t="s">
        <v>84</v>
      </c>
      <c r="G202">
        <v>897</v>
      </c>
      <c r="I202" s="15" t="s">
        <v>206</v>
      </c>
      <c r="J202" s="15" t="s">
        <v>206</v>
      </c>
    </row>
    <row r="203" spans="6:10" x14ac:dyDescent="0.25">
      <c r="F203" s="15" t="s">
        <v>62</v>
      </c>
      <c r="G203">
        <v>24</v>
      </c>
      <c r="I203" s="15" t="s">
        <v>80</v>
      </c>
      <c r="J203" s="15" t="s">
        <v>80</v>
      </c>
    </row>
    <row r="204" spans="6:10" x14ac:dyDescent="0.25">
      <c r="F204" s="12" t="s">
        <v>220</v>
      </c>
      <c r="G204">
        <v>921</v>
      </c>
      <c r="I204" s="12" t="s">
        <v>62</v>
      </c>
      <c r="J204" s="12" t="s">
        <v>62</v>
      </c>
    </row>
    <row r="205" spans="6:10" x14ac:dyDescent="0.25">
      <c r="F205" s="15" t="s">
        <v>84</v>
      </c>
      <c r="G205">
        <v>897</v>
      </c>
      <c r="I205" s="15" t="s">
        <v>60</v>
      </c>
      <c r="J205" s="15" t="s">
        <v>60</v>
      </c>
    </row>
    <row r="206" spans="6:10" x14ac:dyDescent="0.25">
      <c r="F206" s="15" t="s">
        <v>62</v>
      </c>
      <c r="G206">
        <v>24</v>
      </c>
      <c r="I206" s="15" t="s">
        <v>148</v>
      </c>
      <c r="J206" s="15" t="s">
        <v>148</v>
      </c>
    </row>
    <row r="207" spans="6:10" x14ac:dyDescent="0.25">
      <c r="F207" s="12" t="s">
        <v>101</v>
      </c>
      <c r="G207">
        <v>2220</v>
      </c>
      <c r="I207" s="15" t="s">
        <v>208</v>
      </c>
      <c r="J207" s="15" t="s">
        <v>208</v>
      </c>
    </row>
    <row r="208" spans="6:10" x14ac:dyDescent="0.25">
      <c r="F208" s="15" t="s">
        <v>84</v>
      </c>
      <c r="G208">
        <v>897</v>
      </c>
      <c r="I208" s="15" t="s">
        <v>83</v>
      </c>
      <c r="J208" s="15" t="s">
        <v>83</v>
      </c>
    </row>
    <row r="209" spans="6:10" x14ac:dyDescent="0.25">
      <c r="F209" s="15" t="s">
        <v>62</v>
      </c>
      <c r="G209">
        <v>24</v>
      </c>
      <c r="I209" s="15" t="s">
        <v>160</v>
      </c>
      <c r="J209" s="15" t="s">
        <v>160</v>
      </c>
    </row>
    <row r="210" spans="6:10" x14ac:dyDescent="0.25">
      <c r="F210" s="15" t="s">
        <v>102</v>
      </c>
      <c r="G210">
        <v>1299</v>
      </c>
      <c r="I210" s="15" t="s">
        <v>220</v>
      </c>
      <c r="J210" s="15" t="s">
        <v>220</v>
      </c>
    </row>
    <row r="211" spans="6:10" x14ac:dyDescent="0.25">
      <c r="F211" s="12" t="s">
        <v>172</v>
      </c>
      <c r="G211">
        <v>2196</v>
      </c>
      <c r="I211" s="15" t="s">
        <v>101</v>
      </c>
      <c r="J211" s="15" t="s">
        <v>101</v>
      </c>
    </row>
    <row r="212" spans="6:10" x14ac:dyDescent="0.25">
      <c r="F212" s="15" t="s">
        <v>84</v>
      </c>
      <c r="G212">
        <v>897</v>
      </c>
      <c r="I212" s="12" t="s">
        <v>117</v>
      </c>
      <c r="J212" s="12" t="s">
        <v>117</v>
      </c>
    </row>
    <row r="213" spans="6:10" x14ac:dyDescent="0.25">
      <c r="F213" s="15" t="s">
        <v>102</v>
      </c>
      <c r="G213">
        <v>1299</v>
      </c>
      <c r="I213" s="15" t="s">
        <v>14</v>
      </c>
      <c r="J213" s="15" t="s">
        <v>14</v>
      </c>
    </row>
    <row r="214" spans="6:10" x14ac:dyDescent="0.25">
      <c r="F214" s="12" t="s">
        <v>232</v>
      </c>
      <c r="G214">
        <v>2196</v>
      </c>
      <c r="I214" s="15" t="s">
        <v>134</v>
      </c>
      <c r="J214" s="15" t="s">
        <v>134</v>
      </c>
    </row>
    <row r="215" spans="6:10" x14ac:dyDescent="0.25">
      <c r="F215" s="15" t="s">
        <v>84</v>
      </c>
      <c r="G215">
        <v>897</v>
      </c>
      <c r="I215" s="15" t="s">
        <v>194</v>
      </c>
      <c r="J215" s="15" t="s">
        <v>194</v>
      </c>
    </row>
    <row r="216" spans="6:10" x14ac:dyDescent="0.25">
      <c r="F216" s="15" t="s">
        <v>102</v>
      </c>
      <c r="G216">
        <v>1299</v>
      </c>
      <c r="I216" s="15" t="s">
        <v>56</v>
      </c>
      <c r="J216" s="15" t="s">
        <v>56</v>
      </c>
    </row>
    <row r="217" spans="6:10" x14ac:dyDescent="0.25">
      <c r="F217" s="12" t="s">
        <v>119</v>
      </c>
      <c r="G217">
        <v>2416</v>
      </c>
      <c r="I217" s="15" t="s">
        <v>116</v>
      </c>
      <c r="J217" s="15" t="s">
        <v>116</v>
      </c>
    </row>
    <row r="218" spans="6:10" x14ac:dyDescent="0.25">
      <c r="F218" s="15" t="s">
        <v>120</v>
      </c>
      <c r="G218">
        <v>220</v>
      </c>
      <c r="I218" s="15" t="s">
        <v>182</v>
      </c>
      <c r="J218" s="15" t="s">
        <v>182</v>
      </c>
    </row>
    <row r="219" spans="6:10" x14ac:dyDescent="0.25">
      <c r="F219" s="15" t="s">
        <v>84</v>
      </c>
      <c r="G219">
        <v>897</v>
      </c>
      <c r="I219" s="12" t="s">
        <v>54</v>
      </c>
      <c r="J219" s="12" t="s">
        <v>54</v>
      </c>
    </row>
    <row r="220" spans="6:10" x14ac:dyDescent="0.25">
      <c r="F220" s="15" t="s">
        <v>102</v>
      </c>
      <c r="G220">
        <v>1299</v>
      </c>
      <c r="I220" s="15" t="s">
        <v>51</v>
      </c>
      <c r="J220" s="15" t="s">
        <v>51</v>
      </c>
    </row>
    <row r="221" spans="6:10" x14ac:dyDescent="0.25">
      <c r="F221" s="12" t="s">
        <v>186</v>
      </c>
      <c r="G221">
        <v>214</v>
      </c>
      <c r="I221" s="15" t="s">
        <v>144</v>
      </c>
      <c r="J221" s="15" t="s">
        <v>144</v>
      </c>
    </row>
    <row r="222" spans="6:10" x14ac:dyDescent="0.25">
      <c r="F222" s="15" t="s">
        <v>123</v>
      </c>
      <c r="G222">
        <v>149</v>
      </c>
      <c r="I222" s="15" t="s">
        <v>204</v>
      </c>
      <c r="J222" s="15" t="s">
        <v>204</v>
      </c>
    </row>
    <row r="223" spans="6:10" x14ac:dyDescent="0.25">
      <c r="F223" s="15" t="s">
        <v>105</v>
      </c>
      <c r="G223">
        <v>65</v>
      </c>
      <c r="I223" s="15" t="s">
        <v>76</v>
      </c>
      <c r="J223" s="15" t="s">
        <v>76</v>
      </c>
    </row>
    <row r="224" spans="6:10" x14ac:dyDescent="0.25">
      <c r="F224" s="12" t="s">
        <v>30</v>
      </c>
      <c r="G224">
        <v>302</v>
      </c>
      <c r="I224" s="15" t="s">
        <v>156</v>
      </c>
      <c r="J224" s="15" t="s">
        <v>156</v>
      </c>
    </row>
    <row r="225" spans="6:10" x14ac:dyDescent="0.25">
      <c r="F225" s="15" t="s">
        <v>123</v>
      </c>
      <c r="G225">
        <v>149</v>
      </c>
      <c r="I225" s="15" t="s">
        <v>216</v>
      </c>
      <c r="J225" s="15" t="s">
        <v>216</v>
      </c>
    </row>
    <row r="226" spans="6:10" x14ac:dyDescent="0.25">
      <c r="F226" s="15" t="s">
        <v>35</v>
      </c>
      <c r="G226">
        <v>88</v>
      </c>
      <c r="I226" s="15" t="s">
        <v>95</v>
      </c>
      <c r="J226" s="15" t="s">
        <v>95</v>
      </c>
    </row>
    <row r="227" spans="6:10" x14ac:dyDescent="0.25">
      <c r="F227" s="15" t="s">
        <v>105</v>
      </c>
      <c r="G227">
        <v>65</v>
      </c>
      <c r="I227" s="12" t="s">
        <v>123</v>
      </c>
      <c r="J227" s="12" t="s">
        <v>123</v>
      </c>
    </row>
    <row r="228" spans="6:10" x14ac:dyDescent="0.25">
      <c r="F228" s="12" t="s">
        <v>138</v>
      </c>
      <c r="G228">
        <v>237</v>
      </c>
      <c r="I228" s="15" t="s">
        <v>186</v>
      </c>
      <c r="J228" s="15" t="s">
        <v>186</v>
      </c>
    </row>
    <row r="229" spans="6:10" x14ac:dyDescent="0.25">
      <c r="F229" s="15" t="s">
        <v>123</v>
      </c>
      <c r="G229">
        <v>149</v>
      </c>
      <c r="I229" s="15" t="s">
        <v>30</v>
      </c>
      <c r="J229" s="15" t="s">
        <v>30</v>
      </c>
    </row>
    <row r="230" spans="6:10" x14ac:dyDescent="0.25">
      <c r="F230" s="15" t="s">
        <v>35</v>
      </c>
      <c r="G230">
        <v>88</v>
      </c>
      <c r="I230" s="15" t="s">
        <v>138</v>
      </c>
      <c r="J230" s="15" t="s">
        <v>138</v>
      </c>
    </row>
    <row r="231" spans="6:10" x14ac:dyDescent="0.25">
      <c r="F231" s="12" t="s">
        <v>198</v>
      </c>
      <c r="G231">
        <v>237</v>
      </c>
      <c r="I231" s="15" t="s">
        <v>198</v>
      </c>
      <c r="J231" s="15" t="s">
        <v>198</v>
      </c>
    </row>
    <row r="232" spans="6:10" x14ac:dyDescent="0.25">
      <c r="F232" s="15" t="s">
        <v>123</v>
      </c>
      <c r="G232">
        <v>149</v>
      </c>
      <c r="I232" s="15" t="s">
        <v>64</v>
      </c>
      <c r="J232" s="15" t="s">
        <v>64</v>
      </c>
    </row>
    <row r="233" spans="6:10" x14ac:dyDescent="0.25">
      <c r="F233" s="15" t="s">
        <v>35</v>
      </c>
      <c r="G233">
        <v>88</v>
      </c>
      <c r="I233" s="15" t="s">
        <v>122</v>
      </c>
      <c r="J233" s="15" t="s">
        <v>122</v>
      </c>
    </row>
    <row r="234" spans="6:10" x14ac:dyDescent="0.25">
      <c r="F234" s="12" t="s">
        <v>64</v>
      </c>
      <c r="G234">
        <v>735</v>
      </c>
      <c r="I234" s="12" t="s">
        <v>114</v>
      </c>
      <c r="J234" s="12" t="s">
        <v>114</v>
      </c>
    </row>
    <row r="235" spans="6:10" x14ac:dyDescent="0.25">
      <c r="F235" s="15" t="s">
        <v>123</v>
      </c>
      <c r="G235">
        <v>149</v>
      </c>
      <c r="I235" s="15" t="s">
        <v>240</v>
      </c>
      <c r="J235" s="15" t="s">
        <v>240</v>
      </c>
    </row>
    <row r="236" spans="6:10" x14ac:dyDescent="0.25">
      <c r="F236" s="15" t="s">
        <v>35</v>
      </c>
      <c r="G236">
        <v>88</v>
      </c>
      <c r="I236" s="15" t="s">
        <v>131</v>
      </c>
      <c r="J236" s="15" t="s">
        <v>131</v>
      </c>
    </row>
    <row r="237" spans="6:10" x14ac:dyDescent="0.25">
      <c r="F237" s="15" t="s">
        <v>66</v>
      </c>
      <c r="G237">
        <v>498</v>
      </c>
      <c r="I237" s="15" t="s">
        <v>192</v>
      </c>
      <c r="J237" s="15" t="s">
        <v>192</v>
      </c>
    </row>
    <row r="238" spans="6:10" x14ac:dyDescent="0.25">
      <c r="F238" s="12" t="s">
        <v>150</v>
      </c>
      <c r="G238">
        <v>586</v>
      </c>
      <c r="I238" s="15" t="s">
        <v>51</v>
      </c>
      <c r="J238" s="15" t="s">
        <v>51</v>
      </c>
    </row>
    <row r="239" spans="6:10" x14ac:dyDescent="0.25">
      <c r="F239" s="15" t="s">
        <v>35</v>
      </c>
      <c r="G239">
        <v>88</v>
      </c>
      <c r="I239" s="15" t="s">
        <v>113</v>
      </c>
      <c r="J239" s="15" t="s">
        <v>113</v>
      </c>
    </row>
    <row r="240" spans="6:10" x14ac:dyDescent="0.25">
      <c r="F240" s="15" t="s">
        <v>66</v>
      </c>
      <c r="G240">
        <v>498</v>
      </c>
      <c r="I240" s="15" t="s">
        <v>180</v>
      </c>
      <c r="J240" s="15" t="s">
        <v>180</v>
      </c>
    </row>
    <row r="241" spans="6:10" x14ac:dyDescent="0.25">
      <c r="F241" s="12" t="s">
        <v>210</v>
      </c>
      <c r="G241">
        <v>586</v>
      </c>
      <c r="I241" s="12" t="s">
        <v>74</v>
      </c>
      <c r="J241" s="12" t="s">
        <v>74</v>
      </c>
    </row>
    <row r="242" spans="6:10" x14ac:dyDescent="0.25">
      <c r="F242" s="15" t="s">
        <v>35</v>
      </c>
      <c r="G242">
        <v>88</v>
      </c>
      <c r="I242" s="15" t="s">
        <v>72</v>
      </c>
      <c r="J242" s="15" t="s">
        <v>72</v>
      </c>
    </row>
    <row r="243" spans="6:10" x14ac:dyDescent="0.25">
      <c r="F243" s="15" t="s">
        <v>66</v>
      </c>
      <c r="G243">
        <v>498</v>
      </c>
      <c r="I243" s="15" t="s">
        <v>154</v>
      </c>
      <c r="J243" s="15" t="s">
        <v>154</v>
      </c>
    </row>
    <row r="244" spans="6:10" x14ac:dyDescent="0.25">
      <c r="F244" s="12" t="s">
        <v>86</v>
      </c>
      <c r="G244">
        <v>835</v>
      </c>
      <c r="I244" s="15" t="s">
        <v>214</v>
      </c>
      <c r="J244" s="15" t="s">
        <v>214</v>
      </c>
    </row>
    <row r="245" spans="6:10" x14ac:dyDescent="0.25">
      <c r="F245" s="15" t="s">
        <v>87</v>
      </c>
      <c r="G245">
        <v>249</v>
      </c>
      <c r="I245" s="15" t="s">
        <v>92</v>
      </c>
      <c r="J245" s="15" t="s">
        <v>92</v>
      </c>
    </row>
    <row r="246" spans="6:10" x14ac:dyDescent="0.25">
      <c r="F246" s="15" t="s">
        <v>35</v>
      </c>
      <c r="G246">
        <v>88</v>
      </c>
      <c r="I246" s="15" t="s">
        <v>166</v>
      </c>
      <c r="J246" s="15" t="s">
        <v>166</v>
      </c>
    </row>
    <row r="247" spans="6:10" x14ac:dyDescent="0.25">
      <c r="F247" s="15" t="s">
        <v>66</v>
      </c>
      <c r="G247">
        <v>498</v>
      </c>
      <c r="I247" s="15" t="s">
        <v>226</v>
      </c>
      <c r="J247" s="15" t="s">
        <v>226</v>
      </c>
    </row>
    <row r="248" spans="6:10" x14ac:dyDescent="0.25">
      <c r="F248" s="12" t="s">
        <v>162</v>
      </c>
      <c r="G248">
        <v>747</v>
      </c>
      <c r="I248" s="15" t="s">
        <v>110</v>
      </c>
      <c r="J248" s="15" t="s">
        <v>110</v>
      </c>
    </row>
    <row r="249" spans="6:10" x14ac:dyDescent="0.25">
      <c r="F249" s="15" t="s">
        <v>87</v>
      </c>
      <c r="G249">
        <v>249</v>
      </c>
      <c r="I249" s="12" t="s">
        <v>102</v>
      </c>
      <c r="J249" s="12" t="s">
        <v>102</v>
      </c>
    </row>
    <row r="250" spans="6:10" x14ac:dyDescent="0.25">
      <c r="F250" s="15" t="s">
        <v>66</v>
      </c>
      <c r="G250">
        <v>498</v>
      </c>
      <c r="I250" s="15" t="s">
        <v>184</v>
      </c>
      <c r="J250" s="15" t="s">
        <v>184</v>
      </c>
    </row>
    <row r="251" spans="6:10" x14ac:dyDescent="0.25">
      <c r="F251" s="12" t="s">
        <v>222</v>
      </c>
      <c r="G251">
        <v>747</v>
      </c>
      <c r="I251" s="15" t="s">
        <v>22</v>
      </c>
      <c r="J251" s="15" t="s">
        <v>22</v>
      </c>
    </row>
    <row r="252" spans="6:10" x14ac:dyDescent="0.25">
      <c r="F252" s="15" t="s">
        <v>87</v>
      </c>
      <c r="G252">
        <v>249</v>
      </c>
      <c r="I252" s="15" t="s">
        <v>136</v>
      </c>
      <c r="J252" s="15" t="s">
        <v>136</v>
      </c>
    </row>
    <row r="253" spans="6:10" x14ac:dyDescent="0.25">
      <c r="F253" s="15" t="s">
        <v>66</v>
      </c>
      <c r="G253">
        <v>498</v>
      </c>
      <c r="I253" s="15" t="s">
        <v>101</v>
      </c>
      <c r="J253" s="15" t="s">
        <v>101</v>
      </c>
    </row>
    <row r="254" spans="6:10" x14ac:dyDescent="0.25">
      <c r="F254" s="12" t="s">
        <v>104</v>
      </c>
      <c r="G254">
        <v>812</v>
      </c>
      <c r="I254" s="15" t="s">
        <v>172</v>
      </c>
      <c r="J254" s="15" t="s">
        <v>172</v>
      </c>
    </row>
    <row r="255" spans="6:10" x14ac:dyDescent="0.25">
      <c r="F255" s="15" t="s">
        <v>87</v>
      </c>
      <c r="G255">
        <v>249</v>
      </c>
      <c r="I255" s="15" t="s">
        <v>232</v>
      </c>
      <c r="J255" s="15" t="s">
        <v>232</v>
      </c>
    </row>
    <row r="256" spans="6:10" x14ac:dyDescent="0.25">
      <c r="F256" s="15" t="s">
        <v>66</v>
      </c>
      <c r="G256">
        <v>498</v>
      </c>
      <c r="I256" s="15" t="s">
        <v>119</v>
      </c>
      <c r="J256" s="15" t="s">
        <v>119</v>
      </c>
    </row>
    <row r="257" spans="6:10" x14ac:dyDescent="0.25">
      <c r="F257" s="15" t="s">
        <v>105</v>
      </c>
      <c r="G257">
        <v>65</v>
      </c>
      <c r="I257" s="12" t="s">
        <v>126</v>
      </c>
      <c r="J257" s="12" t="s">
        <v>126</v>
      </c>
    </row>
    <row r="258" spans="6:10" x14ac:dyDescent="0.25">
      <c r="F258" s="12" t="s">
        <v>174</v>
      </c>
      <c r="G258">
        <v>314</v>
      </c>
      <c r="I258" s="15" t="s">
        <v>125</v>
      </c>
      <c r="J258" s="15" t="s">
        <v>125</v>
      </c>
    </row>
    <row r="259" spans="6:10" x14ac:dyDescent="0.25">
      <c r="F259" s="15" t="s">
        <v>87</v>
      </c>
      <c r="G259">
        <v>249</v>
      </c>
      <c r="I259" s="15" t="s">
        <v>188</v>
      </c>
      <c r="J259" s="15" t="s">
        <v>188</v>
      </c>
    </row>
    <row r="260" spans="6:10" x14ac:dyDescent="0.25">
      <c r="F260" s="15" t="s">
        <v>105</v>
      </c>
      <c r="G260">
        <v>65</v>
      </c>
      <c r="I260" s="15" t="s">
        <v>38</v>
      </c>
      <c r="J260" s="15" t="s">
        <v>38</v>
      </c>
    </row>
    <row r="261" spans="6:10" x14ac:dyDescent="0.25">
      <c r="F261" s="12" t="s">
        <v>234</v>
      </c>
      <c r="G261">
        <v>314</v>
      </c>
      <c r="I261" s="15" t="s">
        <v>140</v>
      </c>
      <c r="J261" s="15" t="s">
        <v>140</v>
      </c>
    </row>
    <row r="262" spans="6:10" x14ac:dyDescent="0.25">
      <c r="F262" s="15" t="s">
        <v>87</v>
      </c>
      <c r="G262">
        <v>249</v>
      </c>
      <c r="I262" s="15" t="s">
        <v>200</v>
      </c>
      <c r="J262" s="15" t="s">
        <v>200</v>
      </c>
    </row>
    <row r="263" spans="6:10" x14ac:dyDescent="0.25">
      <c r="F263" s="15" t="s">
        <v>105</v>
      </c>
      <c r="G263">
        <v>65</v>
      </c>
      <c r="I263" s="15" t="s">
        <v>68</v>
      </c>
      <c r="J263" s="15" t="s">
        <v>68</v>
      </c>
    </row>
    <row r="264" spans="6:10" x14ac:dyDescent="0.25">
      <c r="F264" s="12" t="s">
        <v>122</v>
      </c>
      <c r="G264">
        <v>463</v>
      </c>
      <c r="I264" s="12" t="s">
        <v>49</v>
      </c>
      <c r="J264" s="12" t="s">
        <v>49</v>
      </c>
    </row>
    <row r="265" spans="6:10" x14ac:dyDescent="0.25">
      <c r="F265" s="15" t="s">
        <v>87</v>
      </c>
      <c r="G265">
        <v>249</v>
      </c>
      <c r="I265" s="15" t="s">
        <v>45</v>
      </c>
      <c r="J265" s="15" t="s">
        <v>45</v>
      </c>
    </row>
    <row r="266" spans="6:10" x14ac:dyDescent="0.25">
      <c r="F266" s="15" t="s">
        <v>123</v>
      </c>
      <c r="G266">
        <v>149</v>
      </c>
      <c r="I266" s="15" t="s">
        <v>142</v>
      </c>
      <c r="J266" s="15" t="s">
        <v>142</v>
      </c>
    </row>
    <row r="267" spans="6:10" x14ac:dyDescent="0.25">
      <c r="F267" s="15" t="s">
        <v>105</v>
      </c>
      <c r="G267">
        <v>65</v>
      </c>
      <c r="I267" s="15" t="s">
        <v>202</v>
      </c>
      <c r="J267" s="15" t="s">
        <v>202</v>
      </c>
    </row>
    <row r="268" spans="6:10" x14ac:dyDescent="0.25">
      <c r="F268" s="12" t="s">
        <v>125</v>
      </c>
      <c r="G268">
        <v>903</v>
      </c>
      <c r="I268" s="15" t="s">
        <v>72</v>
      </c>
      <c r="J268" s="15" t="s">
        <v>72</v>
      </c>
    </row>
    <row r="269" spans="6:10" x14ac:dyDescent="0.25">
      <c r="F269" s="15" t="s">
        <v>90</v>
      </c>
      <c r="G269">
        <v>360</v>
      </c>
      <c r="I269" s="15" t="s">
        <v>154</v>
      </c>
      <c r="J269" s="15" t="s">
        <v>154</v>
      </c>
    </row>
    <row r="270" spans="6:10" x14ac:dyDescent="0.25">
      <c r="F270" s="15" t="s">
        <v>108</v>
      </c>
      <c r="G270">
        <v>358</v>
      </c>
      <c r="I270" s="15" t="s">
        <v>214</v>
      </c>
      <c r="J270" s="15" t="s">
        <v>214</v>
      </c>
    </row>
    <row r="271" spans="6:10" x14ac:dyDescent="0.25">
      <c r="F271" s="15" t="s">
        <v>126</v>
      </c>
      <c r="G271">
        <v>185</v>
      </c>
      <c r="I271" s="15" t="s">
        <v>92</v>
      </c>
      <c r="J271" s="15" t="s">
        <v>92</v>
      </c>
    </row>
    <row r="272" spans="6:10" x14ac:dyDescent="0.25">
      <c r="F272" s="12" t="s">
        <v>188</v>
      </c>
      <c r="G272">
        <v>543</v>
      </c>
      <c r="I272" s="12" t="s">
        <v>35</v>
      </c>
      <c r="J272" s="12" t="s">
        <v>35</v>
      </c>
    </row>
    <row r="273" spans="6:10" x14ac:dyDescent="0.25">
      <c r="F273" s="15" t="s">
        <v>108</v>
      </c>
      <c r="G273">
        <v>358</v>
      </c>
      <c r="I273" s="15" t="s">
        <v>30</v>
      </c>
      <c r="J273" s="15" t="s">
        <v>30</v>
      </c>
    </row>
    <row r="274" spans="6:10" x14ac:dyDescent="0.25">
      <c r="F274" s="15" t="s">
        <v>126</v>
      </c>
      <c r="G274">
        <v>185</v>
      </c>
      <c r="I274" s="15" t="s">
        <v>138</v>
      </c>
      <c r="J274" s="15" t="s">
        <v>138</v>
      </c>
    </row>
    <row r="275" spans="6:10" x14ac:dyDescent="0.25">
      <c r="F275" s="12" t="s">
        <v>38</v>
      </c>
      <c r="G275">
        <v>1080</v>
      </c>
      <c r="I275" s="15" t="s">
        <v>198</v>
      </c>
      <c r="J275" s="15" t="s">
        <v>198</v>
      </c>
    </row>
    <row r="276" spans="6:10" x14ac:dyDescent="0.25">
      <c r="F276" s="15" t="s">
        <v>108</v>
      </c>
      <c r="G276">
        <v>358</v>
      </c>
      <c r="I276" s="15" t="s">
        <v>64</v>
      </c>
      <c r="J276" s="15" t="s">
        <v>64</v>
      </c>
    </row>
    <row r="277" spans="6:10" x14ac:dyDescent="0.25">
      <c r="F277" s="15" t="s">
        <v>126</v>
      </c>
      <c r="G277">
        <v>185</v>
      </c>
      <c r="I277" s="15" t="s">
        <v>150</v>
      </c>
      <c r="J277" s="15" t="s">
        <v>150</v>
      </c>
    </row>
    <row r="278" spans="6:10" x14ac:dyDescent="0.25">
      <c r="F278" s="15" t="s">
        <v>43</v>
      </c>
      <c r="G278">
        <v>537</v>
      </c>
      <c r="I278" s="15" t="s">
        <v>210</v>
      </c>
      <c r="J278" s="15" t="s">
        <v>210</v>
      </c>
    </row>
    <row r="279" spans="6:10" x14ac:dyDescent="0.25">
      <c r="F279" s="12" t="s">
        <v>140</v>
      </c>
      <c r="G279">
        <v>722</v>
      </c>
      <c r="I279" s="15" t="s">
        <v>86</v>
      </c>
      <c r="J279" s="15" t="s">
        <v>86</v>
      </c>
    </row>
    <row r="280" spans="6:10" x14ac:dyDescent="0.25">
      <c r="F280" s="15" t="s">
        <v>126</v>
      </c>
      <c r="G280">
        <v>185</v>
      </c>
      <c r="I280" s="12" t="s">
        <v>43</v>
      </c>
      <c r="J280" s="12" t="s">
        <v>43</v>
      </c>
    </row>
    <row r="281" spans="6:10" x14ac:dyDescent="0.25">
      <c r="F281" s="15" t="s">
        <v>43</v>
      </c>
      <c r="G281">
        <v>537</v>
      </c>
      <c r="I281" s="15" t="s">
        <v>38</v>
      </c>
      <c r="J281" s="15" t="s">
        <v>38</v>
      </c>
    </row>
    <row r="282" spans="6:10" x14ac:dyDescent="0.25">
      <c r="F282" s="12" t="s">
        <v>200</v>
      </c>
      <c r="G282">
        <v>722</v>
      </c>
      <c r="I282" s="15" t="s">
        <v>140</v>
      </c>
      <c r="J282" s="15" t="s">
        <v>140</v>
      </c>
    </row>
    <row r="283" spans="6:10" x14ac:dyDescent="0.25">
      <c r="F283" s="15" t="s">
        <v>126</v>
      </c>
      <c r="G283">
        <v>185</v>
      </c>
      <c r="I283" s="15" t="s">
        <v>200</v>
      </c>
      <c r="J283" s="15" t="s">
        <v>200</v>
      </c>
    </row>
    <row r="284" spans="6:10" x14ac:dyDescent="0.25">
      <c r="F284" s="15" t="s">
        <v>43</v>
      </c>
      <c r="G284">
        <v>537</v>
      </c>
      <c r="I284" s="15" t="s">
        <v>68</v>
      </c>
      <c r="J284" s="15" t="s">
        <v>68</v>
      </c>
    </row>
    <row r="285" spans="6:10" x14ac:dyDescent="0.25">
      <c r="F285" s="12" t="s">
        <v>68</v>
      </c>
      <c r="G285">
        <v>1821</v>
      </c>
      <c r="I285" s="15" t="s">
        <v>152</v>
      </c>
      <c r="J285" s="15" t="s">
        <v>152</v>
      </c>
    </row>
    <row r="286" spans="6:10" x14ac:dyDescent="0.25">
      <c r="F286" s="15" t="s">
        <v>70</v>
      </c>
      <c r="G286">
        <v>1099</v>
      </c>
      <c r="I286" s="15" t="s">
        <v>212</v>
      </c>
      <c r="J286" s="15" t="s">
        <v>212</v>
      </c>
    </row>
    <row r="287" spans="6:10" x14ac:dyDescent="0.25">
      <c r="F287" s="15" t="s">
        <v>126</v>
      </c>
      <c r="G287">
        <v>185</v>
      </c>
      <c r="I287" s="15" t="s">
        <v>89</v>
      </c>
      <c r="J287" s="15" t="s">
        <v>89</v>
      </c>
    </row>
    <row r="288" spans="6:10" x14ac:dyDescent="0.25">
      <c r="F288" s="15" t="s">
        <v>43</v>
      </c>
      <c r="G288">
        <v>537</v>
      </c>
      <c r="I288" s="12" t="s">
        <v>93</v>
      </c>
      <c r="J288" s="12" t="s">
        <v>93</v>
      </c>
    </row>
    <row r="289" spans="6:10" x14ac:dyDescent="0.25">
      <c r="F289" s="12" t="s">
        <v>152</v>
      </c>
      <c r="G289">
        <v>1636</v>
      </c>
      <c r="I289" s="15" t="s">
        <v>128</v>
      </c>
      <c r="J289" s="15" t="s">
        <v>128</v>
      </c>
    </row>
    <row r="290" spans="6:10" x14ac:dyDescent="0.25">
      <c r="F290" s="15" t="s">
        <v>70</v>
      </c>
      <c r="G290">
        <v>1099</v>
      </c>
      <c r="I290" s="15" t="s">
        <v>92</v>
      </c>
      <c r="J290" s="15" t="s">
        <v>92</v>
      </c>
    </row>
    <row r="291" spans="6:10" x14ac:dyDescent="0.25">
      <c r="F291" s="15" t="s">
        <v>43</v>
      </c>
      <c r="G291">
        <v>537</v>
      </c>
      <c r="I291" s="15" t="s">
        <v>166</v>
      </c>
      <c r="J291" s="15" t="s">
        <v>166</v>
      </c>
    </row>
    <row r="292" spans="6:10" x14ac:dyDescent="0.25">
      <c r="F292" s="12" t="s">
        <v>212</v>
      </c>
      <c r="G292">
        <v>1636</v>
      </c>
      <c r="I292" s="15" t="s">
        <v>226</v>
      </c>
      <c r="J292" s="15" t="s">
        <v>226</v>
      </c>
    </row>
    <row r="293" spans="6:10" x14ac:dyDescent="0.25">
      <c r="F293" s="15" t="s">
        <v>70</v>
      </c>
      <c r="G293">
        <v>1099</v>
      </c>
      <c r="I293" s="15" t="s">
        <v>110</v>
      </c>
      <c r="J293" s="15" t="s">
        <v>110</v>
      </c>
    </row>
    <row r="294" spans="6:10" x14ac:dyDescent="0.25">
      <c r="F294" s="15" t="s">
        <v>43</v>
      </c>
      <c r="G294">
        <v>537</v>
      </c>
      <c r="I294" s="15" t="s">
        <v>178</v>
      </c>
      <c r="J294" s="15" t="s">
        <v>178</v>
      </c>
    </row>
    <row r="295" spans="6:10" x14ac:dyDescent="0.25">
      <c r="F295" s="12" t="s">
        <v>89</v>
      </c>
      <c r="G295">
        <v>1996</v>
      </c>
      <c r="I295" s="15" t="s">
        <v>238</v>
      </c>
      <c r="J295" s="15" t="s">
        <v>238</v>
      </c>
    </row>
    <row r="296" spans="6:10" x14ac:dyDescent="0.25">
      <c r="F296" s="15" t="s">
        <v>70</v>
      </c>
      <c r="G296">
        <v>1099</v>
      </c>
      <c r="I296" s="12" t="s">
        <v>66</v>
      </c>
      <c r="J296" s="12" t="s">
        <v>66</v>
      </c>
    </row>
    <row r="297" spans="6:10" x14ac:dyDescent="0.25">
      <c r="F297" s="15" t="s">
        <v>90</v>
      </c>
      <c r="G297">
        <v>360</v>
      </c>
      <c r="I297" s="15" t="s">
        <v>64</v>
      </c>
      <c r="J297" s="15" t="s">
        <v>64</v>
      </c>
    </row>
    <row r="298" spans="6:10" x14ac:dyDescent="0.25">
      <c r="F298" s="15" t="s">
        <v>43</v>
      </c>
      <c r="G298">
        <v>537</v>
      </c>
      <c r="I298" s="15" t="s">
        <v>150</v>
      </c>
      <c r="J298" s="15" t="s">
        <v>150</v>
      </c>
    </row>
    <row r="299" spans="6:10" x14ac:dyDescent="0.25">
      <c r="F299" s="12" t="s">
        <v>164</v>
      </c>
      <c r="G299">
        <v>1459</v>
      </c>
      <c r="I299" s="15" t="s">
        <v>210</v>
      </c>
      <c r="J299" s="15" t="s">
        <v>210</v>
      </c>
    </row>
    <row r="300" spans="6:10" x14ac:dyDescent="0.25">
      <c r="F300" s="15" t="s">
        <v>70</v>
      </c>
      <c r="G300">
        <v>1099</v>
      </c>
      <c r="I300" s="15" t="s">
        <v>86</v>
      </c>
      <c r="J300" s="15" t="s">
        <v>86</v>
      </c>
    </row>
    <row r="301" spans="6:10" x14ac:dyDescent="0.25">
      <c r="F301" s="15" t="s">
        <v>90</v>
      </c>
      <c r="G301">
        <v>360</v>
      </c>
      <c r="I301" s="15" t="s">
        <v>162</v>
      </c>
      <c r="J301" s="15" t="s">
        <v>162</v>
      </c>
    </row>
    <row r="302" spans="6:10" x14ac:dyDescent="0.25">
      <c r="F302" s="12" t="s">
        <v>224</v>
      </c>
      <c r="G302">
        <v>1459</v>
      </c>
      <c r="I302" s="15" t="s">
        <v>222</v>
      </c>
      <c r="J302" s="15" t="s">
        <v>222</v>
      </c>
    </row>
    <row r="303" spans="6:10" x14ac:dyDescent="0.25">
      <c r="F303" s="15" t="s">
        <v>70</v>
      </c>
      <c r="G303">
        <v>1099</v>
      </c>
      <c r="I303" s="15" t="s">
        <v>104</v>
      </c>
      <c r="J303" s="15" t="s">
        <v>104</v>
      </c>
    </row>
    <row r="304" spans="6:10" x14ac:dyDescent="0.25">
      <c r="F304" s="15" t="s">
        <v>90</v>
      </c>
      <c r="G304">
        <v>360</v>
      </c>
      <c r="I304" s="12" t="s">
        <v>105</v>
      </c>
      <c r="J304" s="12" t="s">
        <v>105</v>
      </c>
    </row>
    <row r="305" spans="6:10" x14ac:dyDescent="0.25">
      <c r="F305" s="12" t="s">
        <v>107</v>
      </c>
      <c r="G305">
        <v>1817</v>
      </c>
      <c r="I305" s="15" t="s">
        <v>186</v>
      </c>
      <c r="J305" s="15" t="s">
        <v>186</v>
      </c>
    </row>
    <row r="306" spans="6:10" x14ac:dyDescent="0.25">
      <c r="F306" s="15" t="s">
        <v>70</v>
      </c>
      <c r="G306">
        <v>1099</v>
      </c>
      <c r="I306" s="15" t="s">
        <v>30</v>
      </c>
      <c r="J306" s="15" t="s">
        <v>30</v>
      </c>
    </row>
    <row r="307" spans="6:10" x14ac:dyDescent="0.25">
      <c r="F307" s="15" t="s">
        <v>90</v>
      </c>
      <c r="G307">
        <v>360</v>
      </c>
      <c r="I307" s="15" t="s">
        <v>104</v>
      </c>
      <c r="J307" s="15" t="s">
        <v>104</v>
      </c>
    </row>
    <row r="308" spans="6:10" x14ac:dyDescent="0.25">
      <c r="F308" s="15" t="s">
        <v>108</v>
      </c>
      <c r="G308">
        <v>358</v>
      </c>
      <c r="I308" s="15" t="s">
        <v>174</v>
      </c>
      <c r="J308" s="15" t="s">
        <v>174</v>
      </c>
    </row>
    <row r="309" spans="6:10" x14ac:dyDescent="0.25">
      <c r="F309" s="12" t="s">
        <v>176</v>
      </c>
      <c r="G309">
        <v>718</v>
      </c>
      <c r="I309" s="15" t="s">
        <v>234</v>
      </c>
      <c r="J309" s="15" t="s">
        <v>234</v>
      </c>
    </row>
    <row r="310" spans="6:10" x14ac:dyDescent="0.25">
      <c r="F310" s="15" t="s">
        <v>90</v>
      </c>
      <c r="G310">
        <v>360</v>
      </c>
      <c r="I310" s="15" t="s">
        <v>122</v>
      </c>
      <c r="J310" s="15" t="s">
        <v>122</v>
      </c>
    </row>
    <row r="311" spans="6:10" x14ac:dyDescent="0.25">
      <c r="F311" s="15" t="s">
        <v>108</v>
      </c>
      <c r="G311">
        <v>358</v>
      </c>
      <c r="I311" s="12" t="s">
        <v>563</v>
      </c>
      <c r="J311" s="12" t="s">
        <v>563</v>
      </c>
    </row>
    <row r="312" spans="6:10" x14ac:dyDescent="0.25">
      <c r="F312" s="12" t="s">
        <v>236</v>
      </c>
      <c r="G312">
        <v>718</v>
      </c>
    </row>
    <row r="313" spans="6:10" x14ac:dyDescent="0.25">
      <c r="F313" s="15" t="s">
        <v>90</v>
      </c>
      <c r="G313">
        <v>360</v>
      </c>
    </row>
    <row r="314" spans="6:10" x14ac:dyDescent="0.25">
      <c r="F314" s="15" t="s">
        <v>108</v>
      </c>
      <c r="G314">
        <v>358</v>
      </c>
    </row>
    <row r="315" spans="6:10" x14ac:dyDescent="0.25">
      <c r="F315" s="12" t="s">
        <v>128</v>
      </c>
      <c r="G315">
        <v>885</v>
      </c>
    </row>
    <row r="316" spans="6:10" x14ac:dyDescent="0.25">
      <c r="F316" s="15" t="s">
        <v>111</v>
      </c>
      <c r="G316">
        <v>38</v>
      </c>
    </row>
    <row r="317" spans="6:10" x14ac:dyDescent="0.25">
      <c r="F317" s="15" t="s">
        <v>129</v>
      </c>
      <c r="G317">
        <v>298</v>
      </c>
    </row>
    <row r="318" spans="6:10" x14ac:dyDescent="0.25">
      <c r="F318" s="15" t="s">
        <v>93</v>
      </c>
      <c r="G318">
        <v>549</v>
      </c>
    </row>
    <row r="319" spans="6:10" x14ac:dyDescent="0.25">
      <c r="F319" s="12" t="s">
        <v>190</v>
      </c>
      <c r="G319">
        <v>336</v>
      </c>
    </row>
    <row r="320" spans="6:10" x14ac:dyDescent="0.25">
      <c r="F320" s="15" t="s">
        <v>111</v>
      </c>
      <c r="G320">
        <v>38</v>
      </c>
    </row>
    <row r="321" spans="6:7" x14ac:dyDescent="0.25">
      <c r="F321" s="15" t="s">
        <v>129</v>
      </c>
      <c r="G321">
        <v>298</v>
      </c>
    </row>
    <row r="322" spans="6:7" x14ac:dyDescent="0.25">
      <c r="F322" s="12" t="s">
        <v>45</v>
      </c>
      <c r="G322">
        <v>685</v>
      </c>
    </row>
    <row r="323" spans="6:7" x14ac:dyDescent="0.25">
      <c r="F323" s="15" t="s">
        <v>111</v>
      </c>
      <c r="G323">
        <v>38</v>
      </c>
    </row>
    <row r="324" spans="6:7" x14ac:dyDescent="0.25">
      <c r="F324" s="15" t="s">
        <v>129</v>
      </c>
      <c r="G324">
        <v>298</v>
      </c>
    </row>
    <row r="325" spans="6:7" x14ac:dyDescent="0.25">
      <c r="F325" s="15" t="s">
        <v>49</v>
      </c>
      <c r="G325">
        <v>349</v>
      </c>
    </row>
    <row r="326" spans="6:7" x14ac:dyDescent="0.25">
      <c r="F326" s="12" t="s">
        <v>142</v>
      </c>
      <c r="G326">
        <v>647</v>
      </c>
    </row>
    <row r="327" spans="6:7" x14ac:dyDescent="0.25">
      <c r="F327" s="15" t="s">
        <v>129</v>
      </c>
      <c r="G327">
        <v>298</v>
      </c>
    </row>
    <row r="328" spans="6:7" x14ac:dyDescent="0.25">
      <c r="F328" s="15" t="s">
        <v>49</v>
      </c>
      <c r="G328">
        <v>349</v>
      </c>
    </row>
    <row r="329" spans="6:7" x14ac:dyDescent="0.25">
      <c r="F329" s="12" t="s">
        <v>202</v>
      </c>
      <c r="G329">
        <v>647</v>
      </c>
    </row>
    <row r="330" spans="6:7" x14ac:dyDescent="0.25">
      <c r="F330" s="15" t="s">
        <v>129</v>
      </c>
      <c r="G330">
        <v>298</v>
      </c>
    </row>
    <row r="331" spans="6:7" x14ac:dyDescent="0.25">
      <c r="F331" s="15" t="s">
        <v>49</v>
      </c>
      <c r="G331">
        <v>349</v>
      </c>
    </row>
    <row r="332" spans="6:7" x14ac:dyDescent="0.25">
      <c r="F332" s="12" t="s">
        <v>72</v>
      </c>
      <c r="G332">
        <v>742</v>
      </c>
    </row>
    <row r="333" spans="6:7" x14ac:dyDescent="0.25">
      <c r="F333" s="15" t="s">
        <v>129</v>
      </c>
      <c r="G333">
        <v>298</v>
      </c>
    </row>
    <row r="334" spans="6:7" x14ac:dyDescent="0.25">
      <c r="F334" s="15" t="s">
        <v>74</v>
      </c>
      <c r="G334">
        <v>95</v>
      </c>
    </row>
    <row r="335" spans="6:7" x14ac:dyDescent="0.25">
      <c r="F335" s="15" t="s">
        <v>49</v>
      </c>
      <c r="G335">
        <v>349</v>
      </c>
    </row>
    <row r="336" spans="6:7" x14ac:dyDescent="0.25">
      <c r="F336" s="12" t="s">
        <v>154</v>
      </c>
      <c r="G336">
        <v>444</v>
      </c>
    </row>
    <row r="337" spans="6:7" x14ac:dyDescent="0.25">
      <c r="F337" s="15" t="s">
        <v>74</v>
      </c>
      <c r="G337">
        <v>95</v>
      </c>
    </row>
    <row r="338" spans="6:7" x14ac:dyDescent="0.25">
      <c r="F338" s="15" t="s">
        <v>49</v>
      </c>
      <c r="G338">
        <v>349</v>
      </c>
    </row>
    <row r="339" spans="6:7" x14ac:dyDescent="0.25">
      <c r="F339" s="12" t="s">
        <v>214</v>
      </c>
      <c r="G339">
        <v>444</v>
      </c>
    </row>
    <row r="340" spans="6:7" x14ac:dyDescent="0.25">
      <c r="F340" s="15" t="s">
        <v>74</v>
      </c>
      <c r="G340">
        <v>95</v>
      </c>
    </row>
    <row r="341" spans="6:7" x14ac:dyDescent="0.25">
      <c r="F341" s="15" t="s">
        <v>49</v>
      </c>
      <c r="G341">
        <v>349</v>
      </c>
    </row>
    <row r="342" spans="6:7" x14ac:dyDescent="0.25">
      <c r="F342" s="12" t="s">
        <v>92</v>
      </c>
      <c r="G342">
        <v>993</v>
      </c>
    </row>
    <row r="343" spans="6:7" x14ac:dyDescent="0.25">
      <c r="F343" s="15" t="s">
        <v>74</v>
      </c>
      <c r="G343">
        <v>95</v>
      </c>
    </row>
    <row r="344" spans="6:7" x14ac:dyDescent="0.25">
      <c r="F344" s="15" t="s">
        <v>49</v>
      </c>
      <c r="G344">
        <v>349</v>
      </c>
    </row>
    <row r="345" spans="6:7" x14ac:dyDescent="0.25">
      <c r="F345" s="15" t="s">
        <v>93</v>
      </c>
      <c r="G345">
        <v>549</v>
      </c>
    </row>
    <row r="346" spans="6:7" x14ac:dyDescent="0.25">
      <c r="F346" s="12" t="s">
        <v>166</v>
      </c>
      <c r="G346">
        <v>644</v>
      </c>
    </row>
    <row r="347" spans="6:7" x14ac:dyDescent="0.25">
      <c r="F347" s="15" t="s">
        <v>74</v>
      </c>
      <c r="G347">
        <v>95</v>
      </c>
    </row>
    <row r="348" spans="6:7" x14ac:dyDescent="0.25">
      <c r="F348" s="15" t="s">
        <v>93</v>
      </c>
      <c r="G348">
        <v>549</v>
      </c>
    </row>
    <row r="349" spans="6:7" x14ac:dyDescent="0.25">
      <c r="F349" s="12" t="s">
        <v>226</v>
      </c>
      <c r="G349">
        <v>644</v>
      </c>
    </row>
    <row r="350" spans="6:7" x14ac:dyDescent="0.25">
      <c r="F350" s="15" t="s">
        <v>74</v>
      </c>
      <c r="G350">
        <v>95</v>
      </c>
    </row>
    <row r="351" spans="6:7" x14ac:dyDescent="0.25">
      <c r="F351" s="15" t="s">
        <v>93</v>
      </c>
      <c r="G351">
        <v>549</v>
      </c>
    </row>
    <row r="352" spans="6:7" x14ac:dyDescent="0.25">
      <c r="F352" s="12" t="s">
        <v>110</v>
      </c>
      <c r="G352">
        <v>682</v>
      </c>
    </row>
    <row r="353" spans="6:7" x14ac:dyDescent="0.25">
      <c r="F353" s="15" t="s">
        <v>111</v>
      </c>
      <c r="G353">
        <v>38</v>
      </c>
    </row>
    <row r="354" spans="6:7" x14ac:dyDescent="0.25">
      <c r="F354" s="15" t="s">
        <v>74</v>
      </c>
      <c r="G354">
        <v>95</v>
      </c>
    </row>
    <row r="355" spans="6:7" x14ac:dyDescent="0.25">
      <c r="F355" s="15" t="s">
        <v>93</v>
      </c>
      <c r="G355">
        <v>549</v>
      </c>
    </row>
    <row r="356" spans="6:7" x14ac:dyDescent="0.25">
      <c r="F356" s="12" t="s">
        <v>178</v>
      </c>
      <c r="G356">
        <v>587</v>
      </c>
    </row>
    <row r="357" spans="6:7" x14ac:dyDescent="0.25">
      <c r="F357" s="15" t="s">
        <v>111</v>
      </c>
      <c r="G357">
        <v>38</v>
      </c>
    </row>
    <row r="358" spans="6:7" x14ac:dyDescent="0.25">
      <c r="F358" s="15" t="s">
        <v>93</v>
      </c>
      <c r="G358">
        <v>549</v>
      </c>
    </row>
    <row r="359" spans="6:7" x14ac:dyDescent="0.25">
      <c r="F359" s="12" t="s">
        <v>238</v>
      </c>
      <c r="G359">
        <v>587</v>
      </c>
    </row>
    <row r="360" spans="6:7" x14ac:dyDescent="0.25">
      <c r="F360" s="15" t="s">
        <v>111</v>
      </c>
      <c r="G360">
        <v>38</v>
      </c>
    </row>
    <row r="361" spans="6:7" x14ac:dyDescent="0.25">
      <c r="F361" s="15" t="s">
        <v>93</v>
      </c>
      <c r="G361">
        <v>549</v>
      </c>
    </row>
    <row r="362" spans="6:7" x14ac:dyDescent="0.25">
      <c r="F362" s="12" t="s">
        <v>563</v>
      </c>
      <c r="G362">
        <v>115223</v>
      </c>
    </row>
  </sheetData>
  <autoFilter ref="E38:E49" xr:uid="{8AB594AF-2471-432B-95DA-9DA48EC4E23D}"/>
  <conditionalFormatting sqref="H4:H6">
    <cfRule type="iconSet" priority="7">
      <iconSet iconSet="3Arrows">
        <cfvo type="percent" val="0"/>
        <cfvo type="num" val="0"/>
        <cfvo type="num" val="0"/>
      </iconSet>
    </cfRule>
  </conditionalFormatting>
  <conditionalFormatting pivot="1" sqref="J45">
    <cfRule type="expression" dxfId="2" priority="4">
      <formula>$J46&lt;1977</formula>
    </cfRule>
  </conditionalFormatting>
  <conditionalFormatting sqref="P47:P76">
    <cfRule type="expression" dxfId="1" priority="3">
      <formula>$P47&lt;1977</formula>
    </cfRule>
  </conditionalFormatting>
  <conditionalFormatting pivot="1" sqref="J46:J60">
    <cfRule type="expression" dxfId="0" priority="2">
      <formula>$J46&lt;1977</formula>
    </cfRule>
  </conditionalFormatting>
  <conditionalFormatting sqref="E4:E6">
    <cfRule type="colorScale" priority="1">
      <colorScale>
        <cfvo type="min"/>
        <cfvo type="max"/>
        <color theme="6" tint="0.39997558519241921"/>
        <color rgb="FF00B050"/>
      </colorScale>
    </cfRule>
  </conditionalFormatting>
  <pageMargins left="0.7" right="0.7" top="0.75" bottom="0.75" header="0.3" footer="0.3"/>
  <drawing r:id="rId21"/>
  <extLst>
    <ext xmlns:x14="http://schemas.microsoft.com/office/spreadsheetml/2009/9/main" uri="{78C0D931-6437-407d-A8EE-F0AAD7539E65}">
      <x14:conditionalFormattings>
        <x14:conditionalFormatting xmlns:xm="http://schemas.microsoft.com/office/excel/2006/main" pivot="1">
          <x14:cfRule type="iconSet" priority="5" id="{6FCE69C6-6924-4E71-ADAA-CFD839E5F246}">
            <x14:iconSet iconSet="3Arrows" custom="1">
              <x14:cfvo type="percent">
                <xm:f>0</xm:f>
              </x14:cfvo>
              <x14:cfvo type="num">
                <xm:f>4885</xm:f>
              </x14:cfvo>
              <x14:cfvo type="num">
                <xm:f>10997</xm:f>
              </x14:cfvo>
              <x14:cfIcon iconSet="3Arrows" iconId="0"/>
              <x14:cfIcon iconSet="3Arrows" iconId="1"/>
              <x14:cfIcon iconSet="3Arrows" iconId="2"/>
            </x14:iconSet>
          </x14:cfRule>
          <xm:sqref>B38 B40 B42 B44 B46 B48 B50 B52 B54 B56 B58 B60</xm:sqref>
        </x14:conditionalFormatting>
      </x14:conditionalFormattings>
    </ext>
    <ext xmlns:x14="http://schemas.microsoft.com/office/spreadsheetml/2009/9/main" uri="{A8765BA9-456A-4dab-B4F3-ACF838C121DE}">
      <x14:slicerList>
        <x14:slicer r:id="rId2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56"/>
  <sheetViews>
    <sheetView tabSelected="1" workbookViewId="0">
      <selection activeCell="I52" sqref="I52"/>
    </sheetView>
  </sheetViews>
  <sheetFormatPr defaultRowHeight="15" x14ac:dyDescent="0.25"/>
  <cols>
    <col min="1" max="1" width="40" customWidth="1"/>
    <col min="2" max="5" width="18" customWidth="1"/>
    <col min="7" max="7" width="10.5703125" bestFit="1" customWidth="1"/>
    <col min="8" max="8" width="9" bestFit="1" customWidth="1"/>
    <col min="9" max="9" width="15.140625" bestFit="1" customWidth="1"/>
    <col min="10" max="10" width="14.5703125" bestFit="1" customWidth="1"/>
    <col min="11" max="11" width="12" bestFit="1" customWidth="1"/>
  </cols>
  <sheetData>
    <row r="1" spans="1:11" ht="26.1" customHeight="1" x14ac:dyDescent="0.25">
      <c r="A1" s="63" t="s">
        <v>547</v>
      </c>
      <c r="B1" s="64"/>
      <c r="C1" s="64"/>
      <c r="D1" s="64"/>
      <c r="E1" s="64"/>
    </row>
    <row r="2" spans="1:11" ht="14.1" customHeight="1" x14ac:dyDescent="0.25">
      <c r="A2" s="67" t="s">
        <v>548</v>
      </c>
      <c r="B2" s="64"/>
      <c r="C2" s="64"/>
      <c r="D2" s="64"/>
      <c r="E2" s="64"/>
    </row>
    <row r="4" spans="1:11" ht="20.100000000000001" customHeight="1" x14ac:dyDescent="0.25">
      <c r="A4" s="65" t="s">
        <v>549</v>
      </c>
      <c r="B4" s="64"/>
      <c r="C4" s="64"/>
      <c r="D4" s="64"/>
      <c r="E4" s="64"/>
    </row>
    <row r="5" spans="1:11" ht="21.95" customHeight="1" x14ac:dyDescent="0.25">
      <c r="A5" s="10" t="s">
        <v>550</v>
      </c>
      <c r="B5" s="66"/>
      <c r="C5" s="64"/>
      <c r="D5" s="64"/>
      <c r="E5" s="64"/>
    </row>
    <row r="6" spans="1:11" ht="63" customHeight="1" x14ac:dyDescent="0.25">
      <c r="A6" s="10" t="s">
        <v>551</v>
      </c>
      <c r="B6" s="66"/>
      <c r="C6" s="64"/>
      <c r="D6" s="64"/>
      <c r="E6" s="64"/>
    </row>
    <row r="7" spans="1:11" ht="21.95" customHeight="1" x14ac:dyDescent="0.25">
      <c r="A7" s="10" t="s">
        <v>552</v>
      </c>
      <c r="B7" s="66"/>
      <c r="C7" s="64"/>
      <c r="D7" s="64"/>
      <c r="E7" s="64"/>
    </row>
    <row r="8" spans="1:11" ht="21.95" customHeight="1" x14ac:dyDescent="0.25">
      <c r="A8" s="10" t="s">
        <v>553</v>
      </c>
      <c r="B8" s="66"/>
      <c r="C8" s="64"/>
      <c r="D8" s="64"/>
      <c r="E8" s="64"/>
    </row>
    <row r="9" spans="1:11" ht="21.95" customHeight="1" x14ac:dyDescent="0.25">
      <c r="A9" s="10" t="s">
        <v>554</v>
      </c>
      <c r="B9" s="66"/>
      <c r="C9" s="64"/>
      <c r="D9" s="64"/>
      <c r="E9" s="64"/>
    </row>
    <row r="10" spans="1:11" ht="21.95" customHeight="1" x14ac:dyDescent="0.25">
      <c r="A10" s="10" t="s">
        <v>555</v>
      </c>
      <c r="B10" s="66"/>
      <c r="C10" s="64"/>
      <c r="D10" s="64"/>
      <c r="E10" s="64"/>
    </row>
    <row r="11" spans="1:11" ht="21.95" customHeight="1" x14ac:dyDescent="0.25">
      <c r="A11" s="10" t="s">
        <v>556</v>
      </c>
      <c r="B11" s="66"/>
      <c r="C11" s="64"/>
      <c r="D11" s="64"/>
      <c r="E11" s="64"/>
    </row>
    <row r="13" spans="1:11" ht="20.100000000000001" customHeight="1" x14ac:dyDescent="0.25">
      <c r="A13" s="65" t="s">
        <v>557</v>
      </c>
      <c r="B13" s="64"/>
      <c r="C13" s="64"/>
      <c r="D13" s="64"/>
      <c r="E13" s="64"/>
    </row>
    <row r="14" spans="1:11" ht="21.95" customHeight="1" x14ac:dyDescent="0.25">
      <c r="A14" s="10" t="s">
        <v>550</v>
      </c>
      <c r="B14" s="66" t="s">
        <v>677</v>
      </c>
      <c r="C14" s="64"/>
      <c r="D14" s="64"/>
      <c r="E14" s="64"/>
    </row>
    <row r="15" spans="1:11" ht="21.95" customHeight="1" x14ac:dyDescent="0.25">
      <c r="A15" s="10" t="s">
        <v>551</v>
      </c>
      <c r="B15" s="66" t="s">
        <v>683</v>
      </c>
      <c r="C15" s="64"/>
      <c r="D15" s="64"/>
      <c r="E15" s="64"/>
      <c r="F15" s="36" t="s">
        <v>6</v>
      </c>
      <c r="G15" s="36" t="s">
        <v>48</v>
      </c>
      <c r="H15" s="36" t="s">
        <v>678</v>
      </c>
      <c r="I15" s="36" t="s">
        <v>679</v>
      </c>
      <c r="J15" s="36" t="s">
        <v>680</v>
      </c>
      <c r="K15" s="36" t="s">
        <v>681</v>
      </c>
    </row>
    <row r="16" spans="1:11" ht="33" customHeight="1" x14ac:dyDescent="0.25">
      <c r="A16" s="10" t="s">
        <v>552</v>
      </c>
      <c r="B16" s="66" t="s">
        <v>684</v>
      </c>
      <c r="C16" s="64"/>
      <c r="D16" s="64"/>
      <c r="E16" s="64"/>
      <c r="F16" s="36" t="s">
        <v>41</v>
      </c>
      <c r="G16" s="36">
        <v>16815.64</v>
      </c>
      <c r="H16" s="36">
        <v>2582.19</v>
      </c>
      <c r="I16" s="36">
        <v>6496.659999999998</v>
      </c>
      <c r="J16" s="36">
        <v>2463.5099999999998</v>
      </c>
      <c r="K16" s="36">
        <v>28357.999999999996</v>
      </c>
    </row>
    <row r="17" spans="1:18" ht="21.95" customHeight="1" x14ac:dyDescent="0.25">
      <c r="A17" s="10" t="s">
        <v>553</v>
      </c>
      <c r="B17" s="66" t="s">
        <v>685</v>
      </c>
      <c r="C17" s="64"/>
      <c r="D17" s="64"/>
      <c r="E17" s="64"/>
      <c r="F17" s="36" t="s">
        <v>17</v>
      </c>
      <c r="G17" s="36">
        <v>20361.04</v>
      </c>
      <c r="H17" s="36">
        <v>2024.03</v>
      </c>
      <c r="I17" s="36">
        <v>2977.32</v>
      </c>
      <c r="J17" s="36">
        <v>2146.6</v>
      </c>
      <c r="K17" s="36">
        <v>27508.989999999998</v>
      </c>
    </row>
    <row r="18" spans="1:18" ht="21.95" customHeight="1" x14ac:dyDescent="0.25">
      <c r="A18" s="10" t="s">
        <v>554</v>
      </c>
      <c r="B18" s="66" t="s">
        <v>686</v>
      </c>
      <c r="C18" s="64"/>
      <c r="D18" s="64"/>
      <c r="E18" s="64"/>
      <c r="F18" s="36" t="s">
        <v>25</v>
      </c>
      <c r="G18" s="36">
        <v>20488.949999999997</v>
      </c>
      <c r="H18" s="36">
        <v>3630.2500000000005</v>
      </c>
      <c r="I18" s="36">
        <v>4744.96</v>
      </c>
      <c r="J18" s="36">
        <v>804.63000000000011</v>
      </c>
      <c r="K18" s="36">
        <v>29668.789999999997</v>
      </c>
    </row>
    <row r="19" spans="1:18" ht="21.95" customHeight="1" x14ac:dyDescent="0.25">
      <c r="A19" s="10" t="s">
        <v>555</v>
      </c>
      <c r="B19" s="66" t="s">
        <v>687</v>
      </c>
      <c r="C19" s="64"/>
      <c r="D19" s="64"/>
      <c r="E19" s="64"/>
      <c r="F19" s="36" t="s">
        <v>33</v>
      </c>
      <c r="G19" s="36">
        <v>16025.85</v>
      </c>
      <c r="H19" s="36">
        <v>2676.55</v>
      </c>
      <c r="I19" s="36">
        <v>6888.62</v>
      </c>
      <c r="J19" s="36">
        <v>1785.1200000000001</v>
      </c>
      <c r="K19" s="36">
        <v>27376.14</v>
      </c>
    </row>
    <row r="20" spans="1:18" ht="66.75" customHeight="1" x14ac:dyDescent="0.25">
      <c r="A20" s="10" t="s">
        <v>556</v>
      </c>
      <c r="B20" s="66" t="s">
        <v>688</v>
      </c>
      <c r="C20" s="64"/>
      <c r="D20" s="64"/>
      <c r="E20" s="64"/>
      <c r="F20" s="36" t="s">
        <v>682</v>
      </c>
      <c r="G20" s="36">
        <v>73691.48</v>
      </c>
      <c r="H20" s="36">
        <v>10913.02</v>
      </c>
      <c r="I20" s="36">
        <v>21107.559999999998</v>
      </c>
      <c r="J20" s="36">
        <v>7199.86</v>
      </c>
      <c r="K20" s="36">
        <v>112911.91999999998</v>
      </c>
    </row>
    <row r="22" spans="1:18" ht="20.100000000000001" customHeight="1" x14ac:dyDescent="0.25">
      <c r="A22" s="65" t="s">
        <v>558</v>
      </c>
      <c r="B22" s="64"/>
      <c r="C22" s="64"/>
      <c r="D22" s="64"/>
      <c r="E22" s="64"/>
    </row>
    <row r="23" spans="1:18" ht="21.95" customHeight="1" x14ac:dyDescent="0.25">
      <c r="A23" s="10" t="s">
        <v>550</v>
      </c>
      <c r="B23" s="66" t="s">
        <v>689</v>
      </c>
      <c r="C23" s="64"/>
      <c r="D23" s="64"/>
      <c r="E23" s="64"/>
    </row>
    <row r="24" spans="1:18" ht="97.5" customHeight="1" x14ac:dyDescent="0.25">
      <c r="A24" s="10" t="s">
        <v>551</v>
      </c>
      <c r="B24" s="66" t="s">
        <v>695</v>
      </c>
      <c r="C24" s="64"/>
      <c r="D24" s="64"/>
      <c r="E24" s="64"/>
      <c r="F24" t="s">
        <v>690</v>
      </c>
      <c r="J24" t="s">
        <v>691</v>
      </c>
      <c r="N24" t="s">
        <v>692</v>
      </c>
      <c r="R24" t="s">
        <v>693</v>
      </c>
    </row>
    <row r="25" spans="1:18" ht="21.95" customHeight="1" x14ac:dyDescent="0.25">
      <c r="A25" s="10" t="s">
        <v>552</v>
      </c>
      <c r="B25" s="66" t="s">
        <v>676</v>
      </c>
      <c r="C25" s="64"/>
      <c r="D25" s="64"/>
      <c r="E25" s="64"/>
      <c r="F25">
        <v>112911.92000000007</v>
      </c>
      <c r="J25">
        <v>933</v>
      </c>
      <c r="N25" t="s">
        <v>25</v>
      </c>
      <c r="R25" t="s">
        <v>694</v>
      </c>
    </row>
    <row r="26" spans="1:18" ht="21.95" customHeight="1" x14ac:dyDescent="0.25">
      <c r="A26" s="10" t="s">
        <v>553</v>
      </c>
      <c r="B26" s="66" t="s">
        <v>696</v>
      </c>
      <c r="C26" s="64"/>
      <c r="D26" s="64"/>
      <c r="E26" s="64"/>
    </row>
    <row r="27" spans="1:18" ht="21.95" customHeight="1" x14ac:dyDescent="0.25">
      <c r="A27" s="10" t="s">
        <v>554</v>
      </c>
      <c r="B27" s="66" t="s">
        <v>697</v>
      </c>
      <c r="C27" s="64"/>
      <c r="D27" s="64"/>
      <c r="E27" s="64"/>
    </row>
    <row r="28" spans="1:18" ht="32.25" customHeight="1" x14ac:dyDescent="0.25">
      <c r="A28" s="10" t="s">
        <v>555</v>
      </c>
      <c r="B28" s="66" t="s">
        <v>698</v>
      </c>
      <c r="C28" s="64"/>
      <c r="D28" s="64"/>
      <c r="E28" s="64"/>
    </row>
    <row r="29" spans="1:18" ht="60.75" customHeight="1" x14ac:dyDescent="0.25">
      <c r="A29" s="10" t="s">
        <v>556</v>
      </c>
      <c r="B29" s="66" t="s">
        <v>699</v>
      </c>
      <c r="C29" s="64"/>
      <c r="D29" s="64"/>
      <c r="E29" s="64"/>
    </row>
    <row r="31" spans="1:18" ht="20.100000000000001" customHeight="1" x14ac:dyDescent="0.25">
      <c r="A31" s="65" t="s">
        <v>559</v>
      </c>
      <c r="B31" s="64"/>
      <c r="C31" s="64"/>
      <c r="D31" s="64"/>
      <c r="E31" s="64"/>
    </row>
    <row r="32" spans="1:18" ht="21.95" customHeight="1" x14ac:dyDescent="0.25">
      <c r="A32" s="10" t="s">
        <v>550</v>
      </c>
      <c r="B32" s="66" t="s">
        <v>700</v>
      </c>
      <c r="C32" s="64"/>
      <c r="D32" s="64"/>
      <c r="E32" s="64"/>
    </row>
    <row r="33" spans="1:5" ht="21.95" customHeight="1" x14ac:dyDescent="0.25">
      <c r="A33" s="10" t="s">
        <v>551</v>
      </c>
      <c r="B33" s="66" t="s">
        <v>701</v>
      </c>
      <c r="C33" s="64"/>
      <c r="D33" s="64"/>
      <c r="E33" s="64"/>
    </row>
    <row r="34" spans="1:5" ht="21.95" customHeight="1" x14ac:dyDescent="0.25">
      <c r="A34" s="10" t="s">
        <v>552</v>
      </c>
      <c r="B34" s="66" t="s">
        <v>702</v>
      </c>
      <c r="C34" s="64"/>
      <c r="D34" s="64"/>
      <c r="E34" s="64"/>
    </row>
    <row r="35" spans="1:5" ht="21.95" customHeight="1" x14ac:dyDescent="0.25">
      <c r="A35" s="10" t="s">
        <v>553</v>
      </c>
      <c r="B35" s="66" t="s">
        <v>703</v>
      </c>
      <c r="C35" s="64"/>
      <c r="D35" s="64"/>
      <c r="E35" s="64"/>
    </row>
    <row r="36" spans="1:5" ht="21.95" customHeight="1" x14ac:dyDescent="0.25">
      <c r="A36" s="10" t="s">
        <v>554</v>
      </c>
      <c r="B36" s="66" t="s">
        <v>704</v>
      </c>
      <c r="C36" s="64"/>
      <c r="D36" s="64"/>
      <c r="E36" s="64"/>
    </row>
    <row r="37" spans="1:5" ht="21.95" customHeight="1" x14ac:dyDescent="0.25">
      <c r="A37" s="10" t="s">
        <v>555</v>
      </c>
      <c r="B37" s="66" t="s">
        <v>705</v>
      </c>
      <c r="C37" s="64"/>
      <c r="D37" s="64"/>
      <c r="E37" s="64"/>
    </row>
    <row r="38" spans="1:5" ht="48" customHeight="1" x14ac:dyDescent="0.25">
      <c r="A38" s="10" t="s">
        <v>556</v>
      </c>
      <c r="B38" s="66" t="s">
        <v>706</v>
      </c>
      <c r="C38" s="64"/>
      <c r="D38" s="64"/>
      <c r="E38" s="64"/>
    </row>
    <row r="40" spans="1:5" ht="20.100000000000001" customHeight="1" x14ac:dyDescent="0.25">
      <c r="A40" s="65" t="s">
        <v>560</v>
      </c>
      <c r="B40" s="64"/>
      <c r="C40" s="64"/>
      <c r="D40" s="64"/>
      <c r="E40" s="64"/>
    </row>
    <row r="41" spans="1:5" ht="21.95" customHeight="1" x14ac:dyDescent="0.25">
      <c r="A41" s="10" t="s">
        <v>550</v>
      </c>
      <c r="B41" s="66" t="s">
        <v>707</v>
      </c>
      <c r="C41" s="64"/>
      <c r="D41" s="64"/>
      <c r="E41" s="64"/>
    </row>
    <row r="42" spans="1:5" ht="123" customHeight="1" x14ac:dyDescent="0.25">
      <c r="A42" s="10" t="s">
        <v>551</v>
      </c>
      <c r="B42" s="66" t="s">
        <v>710</v>
      </c>
      <c r="C42" s="64"/>
      <c r="D42" s="64"/>
      <c r="E42" s="64"/>
    </row>
    <row r="43" spans="1:5" ht="21.95" customHeight="1" x14ac:dyDescent="0.25">
      <c r="A43" s="10" t="s">
        <v>552</v>
      </c>
      <c r="B43" s="66" t="s">
        <v>676</v>
      </c>
      <c r="C43" s="64"/>
      <c r="D43" s="64"/>
      <c r="E43" s="64"/>
    </row>
    <row r="44" spans="1:5" ht="51" customHeight="1" x14ac:dyDescent="0.25">
      <c r="A44" s="10" t="s">
        <v>553</v>
      </c>
      <c r="B44" s="66" t="s">
        <v>708</v>
      </c>
      <c r="C44" s="64"/>
      <c r="D44" s="64"/>
      <c r="E44" s="64"/>
    </row>
    <row r="45" spans="1:5" ht="21.95" customHeight="1" x14ac:dyDescent="0.25">
      <c r="A45" s="10" t="s">
        <v>554</v>
      </c>
      <c r="B45" s="66" t="s">
        <v>709</v>
      </c>
      <c r="C45" s="64"/>
      <c r="D45" s="64"/>
      <c r="E45" s="64"/>
    </row>
    <row r="46" spans="1:5" ht="33" customHeight="1" x14ac:dyDescent="0.25">
      <c r="A46" s="10" t="s">
        <v>555</v>
      </c>
      <c r="B46" s="66" t="s">
        <v>711</v>
      </c>
      <c r="C46" s="64"/>
      <c r="D46" s="64"/>
      <c r="E46" s="64"/>
    </row>
    <row r="47" spans="1:5" ht="52.5" customHeight="1" x14ac:dyDescent="0.25">
      <c r="A47" s="10" t="s">
        <v>556</v>
      </c>
      <c r="B47" s="66" t="s">
        <v>712</v>
      </c>
      <c r="C47" s="64"/>
      <c r="D47" s="64"/>
      <c r="E47" s="64"/>
    </row>
    <row r="49" spans="1:5" ht="20.100000000000001" customHeight="1" x14ac:dyDescent="0.25">
      <c r="A49" s="65" t="s">
        <v>561</v>
      </c>
      <c r="B49" s="64"/>
      <c r="C49" s="64"/>
      <c r="D49" s="64"/>
      <c r="E49" s="64"/>
    </row>
    <row r="50" spans="1:5" ht="21.95" customHeight="1" x14ac:dyDescent="0.25">
      <c r="A50" s="10" t="s">
        <v>550</v>
      </c>
      <c r="B50" s="66" t="s">
        <v>713</v>
      </c>
      <c r="C50" s="64"/>
      <c r="D50" s="64"/>
      <c r="E50" s="64"/>
    </row>
    <row r="51" spans="1:5" ht="21.95" customHeight="1" x14ac:dyDescent="0.25">
      <c r="A51" s="10" t="s">
        <v>551</v>
      </c>
      <c r="B51" s="66" t="s">
        <v>714</v>
      </c>
      <c r="C51" s="64"/>
      <c r="D51" s="64"/>
      <c r="E51" s="64"/>
    </row>
    <row r="52" spans="1:5" ht="21.95" customHeight="1" x14ac:dyDescent="0.25">
      <c r="A52" s="10" t="s">
        <v>552</v>
      </c>
      <c r="B52" s="66" t="s">
        <v>715</v>
      </c>
      <c r="C52" s="64"/>
      <c r="D52" s="64"/>
      <c r="E52" s="64"/>
    </row>
    <row r="53" spans="1:5" ht="21.95" customHeight="1" x14ac:dyDescent="0.25">
      <c r="A53" s="10" t="s">
        <v>553</v>
      </c>
      <c r="B53" s="66" t="s">
        <v>716</v>
      </c>
      <c r="C53" s="64"/>
      <c r="D53" s="64"/>
      <c r="E53" s="64"/>
    </row>
    <row r="54" spans="1:5" ht="21.95" customHeight="1" x14ac:dyDescent="0.25">
      <c r="A54" s="10" t="s">
        <v>554</v>
      </c>
      <c r="B54" s="66" t="s">
        <v>716</v>
      </c>
      <c r="C54" s="64"/>
      <c r="D54" s="64"/>
      <c r="E54" s="64"/>
    </row>
    <row r="55" spans="1:5" ht="21.95" customHeight="1" x14ac:dyDescent="0.25">
      <c r="A55" s="10" t="s">
        <v>555</v>
      </c>
      <c r="B55" s="66" t="s">
        <v>717</v>
      </c>
      <c r="C55" s="64"/>
      <c r="D55" s="64"/>
      <c r="E55" s="64"/>
    </row>
    <row r="56" spans="1:5" ht="42" customHeight="1" x14ac:dyDescent="0.25">
      <c r="A56" s="10" t="s">
        <v>556</v>
      </c>
      <c r="B56" s="66" t="s">
        <v>718</v>
      </c>
      <c r="C56" s="64"/>
      <c r="D56" s="64"/>
      <c r="E56" s="64"/>
    </row>
  </sheetData>
  <mergeCells count="50">
    <mergeCell ref="B56:E56"/>
    <mergeCell ref="B53:E53"/>
    <mergeCell ref="B47:E47"/>
    <mergeCell ref="B54:E54"/>
    <mergeCell ref="B52:E52"/>
    <mergeCell ref="B55:E55"/>
    <mergeCell ref="B51:E51"/>
    <mergeCell ref="B50:E50"/>
    <mergeCell ref="A49:E49"/>
    <mergeCell ref="B32:E32"/>
    <mergeCell ref="B45:E45"/>
    <mergeCell ref="B26:E26"/>
    <mergeCell ref="B41:E41"/>
    <mergeCell ref="B35:E35"/>
    <mergeCell ref="B38:E38"/>
    <mergeCell ref="B27:E27"/>
    <mergeCell ref="A40:E40"/>
    <mergeCell ref="B44:E44"/>
    <mergeCell ref="B28:E28"/>
    <mergeCell ref="B33:E33"/>
    <mergeCell ref="B42:E42"/>
    <mergeCell ref="B43:E43"/>
    <mergeCell ref="B46:E46"/>
    <mergeCell ref="B23:E23"/>
    <mergeCell ref="A22:E22"/>
    <mergeCell ref="B5:E5"/>
    <mergeCell ref="B20:E20"/>
    <mergeCell ref="B16:E16"/>
    <mergeCell ref="B8:E8"/>
    <mergeCell ref="B14:E14"/>
    <mergeCell ref="B15:E15"/>
    <mergeCell ref="B25:E25"/>
    <mergeCell ref="B24:E24"/>
    <mergeCell ref="B17:E17"/>
    <mergeCell ref="B37:E37"/>
    <mergeCell ref="A31:E31"/>
    <mergeCell ref="B34:E34"/>
    <mergeCell ref="B36:E36"/>
    <mergeCell ref="A1:E1"/>
    <mergeCell ref="A4:E4"/>
    <mergeCell ref="B29:E29"/>
    <mergeCell ref="B18:E18"/>
    <mergeCell ref="B9:E9"/>
    <mergeCell ref="B6:E6"/>
    <mergeCell ref="B10:E10"/>
    <mergeCell ref="B7:E7"/>
    <mergeCell ref="B11:E11"/>
    <mergeCell ref="A13:E13"/>
    <mergeCell ref="B19:E19"/>
    <mergeCell ref="A2:E2"/>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Sheet1</vt:lpstr>
      <vt:lpstr>Conditional Formatting</vt:lpstr>
      <vt:lpstr>Slicers Guide</vt:lpstr>
      <vt:lpstr>Pivot Table Tasks</vt:lpstr>
      <vt:lpstr>KPI Definition</vt:lpstr>
      <vt:lpstr>Sales Data</vt:lpstr>
      <vt:lpstr>Dashboard Charts</vt:lpstr>
      <vt:lpstr>Dashboard Pivot tables</vt:lpstr>
      <vt:lpstr>Dashboard</vt:lpstr>
      <vt:lpstr>Dashboard Layout Design</vt:lpstr>
      <vt:lpstr>Dashboard Brief</vt:lpstr>
      <vt:lpstr>Pivot tables</vt:lpstr>
      <vt:lpstr>AI 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Mudasir Ahmed</cp:lastModifiedBy>
  <dcterms:created xsi:type="dcterms:W3CDTF">2026-07-28T02:14:16Z</dcterms:created>
  <dcterms:modified xsi:type="dcterms:W3CDTF">2026-07-09T11:05:06Z</dcterms:modified>
</cp:coreProperties>
</file>