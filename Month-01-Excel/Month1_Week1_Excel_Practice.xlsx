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mran Pc\Downloads\"/>
    </mc:Choice>
  </mc:AlternateContent>
  <xr:revisionPtr revIDLastSave="0" documentId="13_ncr:1_{C237FD94-F3B5-4BB1-AD45-641CF7A09E35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Sales Data" sheetId="1" r:id="rId1"/>
    <sheet name="Practice — Week 1" sheetId="2" r:id="rId2"/>
    <sheet name="Answer Key" sheetId="3" state="hidden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1" l="1"/>
  <c r="F30" i="1"/>
  <c r="D32" i="1"/>
  <c r="D31" i="1"/>
  <c r="F16" i="2"/>
  <c r="D30" i="1"/>
  <c r="B32" i="1"/>
  <c r="B31" i="1"/>
  <c r="B30" i="1"/>
  <c r="F19" i="2"/>
  <c r="F25" i="2"/>
  <c r="F22" i="2"/>
  <c r="F13" i="2"/>
  <c r="F10" i="2"/>
  <c r="F7" i="2"/>
  <c r="F4" i="2"/>
  <c r="C11" i="3"/>
  <c r="B11" i="3"/>
  <c r="C10" i="3"/>
  <c r="B10" i="3"/>
  <c r="C9" i="3"/>
  <c r="B9" i="3"/>
  <c r="C8" i="3"/>
  <c r="B8" i="3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C6" i="3"/>
  <c r="B6" i="3"/>
  <c r="C5" i="3"/>
  <c r="B5" i="3"/>
  <c r="B4" i="3" l="1"/>
  <c r="B7" i="3"/>
  <c r="C7" i="3"/>
  <c r="C4" i="3"/>
</calcChain>
</file>

<file path=xl/sharedStrings.xml><?xml version="1.0" encoding="utf-8"?>
<sst xmlns="http://schemas.openxmlformats.org/spreadsheetml/2006/main" count="150" uniqueCount="70">
  <si>
    <t>Week 1 Practice — Retail Sales Data</t>
  </si>
  <si>
    <t>Small sales dataset for SUM, AVERAGE, COUNT, MAX, MIN practice</t>
  </si>
  <si>
    <t>Date</t>
  </si>
  <si>
    <t>Product</t>
  </si>
  <si>
    <t>Category</t>
  </si>
  <si>
    <t>Region</t>
  </si>
  <si>
    <t>Units Sold</t>
  </si>
  <si>
    <t>Unit Price ($)</t>
  </si>
  <si>
    <t>Revenue ($)</t>
  </si>
  <si>
    <t>2026-07-01</t>
  </si>
  <si>
    <t>Wireless Mouse</t>
  </si>
  <si>
    <t>Electronics</t>
  </si>
  <si>
    <t>North</t>
  </si>
  <si>
    <t>Office Chair</t>
  </si>
  <si>
    <t>Furniture</t>
  </si>
  <si>
    <t>South</t>
  </si>
  <si>
    <t>2026-07-02</t>
  </si>
  <si>
    <t>USB-C Cable</t>
  </si>
  <si>
    <t>Desk Lamp</t>
  </si>
  <si>
    <t>East</t>
  </si>
  <si>
    <t>2026-07-03</t>
  </si>
  <si>
    <t>Notebook Pack</t>
  </si>
  <si>
    <t>Stationery</t>
  </si>
  <si>
    <t>West</t>
  </si>
  <si>
    <t>2026-07-04</t>
  </si>
  <si>
    <t>Monitor Stand</t>
  </si>
  <si>
    <t>Ballpoint Pens</t>
  </si>
  <si>
    <t>2026-07-05</t>
  </si>
  <si>
    <t>Bluetooth Speaker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</si>
  <si>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</si>
  <si>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</si>
  <si>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</si>
  <si>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</si>
  <si>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</si>
  <si>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</si>
  <si>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</si>
  <si>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</si>
  <si>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Data runs from row 5 to row 29. Revenue = Units Sold x Unit Price (already calculated for you).</t>
  </si>
  <si>
    <t>Week 1 Practice — SUM, AVERAGE, COUNT, MAX, MIN</t>
  </si>
  <si>
    <t>Go to the 'Sales Data' tab to see the dataset. Type your formula in the yellow cell for each question.</t>
  </si>
  <si>
    <t>Q1</t>
  </si>
  <si>
    <t>What is the TOTAL revenue from all sales?</t>
  </si>
  <si>
    <t>Q2</t>
  </si>
  <si>
    <t>What is the AVERAGE number of Units Sold per transaction?</t>
  </si>
  <si>
    <t>Q3</t>
  </si>
  <si>
    <t>How many total transactions (rows) are in this dataset?</t>
  </si>
  <si>
    <t>Q4</t>
  </si>
  <si>
    <t>What is the HIGHEST single Revenue value in the dataset?</t>
  </si>
  <si>
    <t>Q5</t>
  </si>
  <si>
    <t>What is the LOWEST Unit Price in the dataset?</t>
  </si>
  <si>
    <t>Q6</t>
  </si>
  <si>
    <t>What is the AVERAGE Unit Price across all products?</t>
  </si>
  <si>
    <t>Q7</t>
  </si>
  <si>
    <t>What is the TOTAL number of Units Sold across all transactions?</t>
  </si>
  <si>
    <t>Q8</t>
  </si>
  <si>
    <t>What is the HIGHEST number of Units Sold in a single transaction?</t>
  </si>
  <si>
    <t>Type your formula directly into the yellow cell next to each question (e.g. =SUM('Sales Data'!G5:G29)).</t>
  </si>
  <si>
    <t>Check your work against the 'Answer Key' tab once you've tried all 8 on your own.</t>
  </si>
  <si>
    <t>Answer Key — do not peek until you've tried</t>
  </si>
  <si>
    <t>Question</t>
  </si>
  <si>
    <t>Correct Formula</t>
  </si>
  <si>
    <t>Result</t>
  </si>
  <si>
    <t>Total Transaction Rows</t>
  </si>
  <si>
    <t>Highest Revenue</t>
  </si>
  <si>
    <t>Lowest Unit price</t>
  </si>
  <si>
    <t>Total Revenue</t>
  </si>
  <si>
    <t>Average Unit sold</t>
  </si>
  <si>
    <t>Average Unit Price</t>
  </si>
  <si>
    <t xml:space="preserve">Total Units sold </t>
  </si>
  <si>
    <t>Highest 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</si>
</sst>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\$#,##0.00"/>
    <numFmt numFmtId="165" formatCode="_([$$-409]* #,##0.00_);_([$$-409]* \(#,##0.00\);_([$$-409]* &quot;-&quot;??_);_(@_)"/>
    <numFmt numFmtId="166" formatCode="&quot;$&quot;#,##0.00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59595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5" fillId="0" borderId="0" xfId="0" applyFont="1"/>
    <xf numFmtId="0" fontId="0" fillId="3" borderId="1" xfId="0" applyFill="1" applyBorder="1" applyAlignment="1">
      <alignment horizontal="center"/>
    </xf>
    <xf numFmtId="0" fontId="3" fillId="2" borderId="0" xfId="0" applyFont="1" applyFill="1"/>
    <xf numFmtId="164" fontId="0" fillId="0" borderId="0" xfId="0" applyNumberFormat="1"/>
    <xf numFmtId="0" fontId="0" fillId="0" borderId="3" xfId="0" applyBorder="1"/>
    <xf numFmtId="164" fontId="0" fillId="0" borderId="3" xfId="0" applyNumberFormat="1" applyBorder="1"/>
    <xf numFmtId="0" fontId="0" fillId="0" borderId="2" xfId="0" applyBorder="1"/>
    <xf numFmtId="164" fontId="0" fillId="0" borderId="2" xfId="0" applyNumberFormat="1" applyBorder="1"/>
    <xf numFmtId="0" fontId="7" fillId="4" borderId="2" xfId="0" applyFont="1" applyFill="1" applyBorder="1"/>
    <xf numFmtId="0" fontId="7" fillId="5" borderId="2" xfId="0" applyFont="1" applyFill="1" applyBorder="1"/>
    <xf numFmtId="165" fontId="0" fillId="3" borderId="1" xfId="1" applyNumberFormat="1" applyFont="1" applyFill="1" applyBorder="1" applyAlignment="1">
      <alignment vertical="center"/>
    </xf>
    <xf numFmtId="0" fontId="8" fillId="5" borderId="2" xfId="0" applyFont="1" applyFill="1" applyBorder="1"/>
    <xf numFmtId="166" fontId="0" fillId="0" borderId="2" xfId="1" applyNumberFormat="1" applyFont="1" applyBorder="1"/>
    <xf numFmtId="7" fontId="0" fillId="0" borderId="2" xfId="0" applyNumberFormat="1" applyBorder="1"/>
    <xf numFmtId="0" fontId="7" fillId="0" borderId="0" xfId="0" applyFont="1"/>
    <xf numFmtId="0" fontId="7" fillId="0" borderId="2" xfId="0" applyFont="1" applyBorder="1"/>
    <xf numFmtId="2" fontId="0" fillId="0" borderId="2" xfId="0" applyNumberFormat="1" applyBorder="1"/>
    <xf numFmtId="0" fontId="6" fillId="0" borderId="0" xfId="0" applyFont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82" zoomScaleNormal="82" workbookViewId="0">
      <pane ySplit="4" topLeftCell="A14" activePane="bottomLeft" state="frozen"/>
      <selection pane="bottomLeft" activeCell="J18" sqref="J18"/>
    </sheetView>
  </sheetViews>
  <sheetFormatPr defaultColWidth="8.7109375" defaultRowHeight="15" x14ac:dyDescent="0.25"/>
  <cols>
    <col min="1" max="1" width="21.42578125" customWidth="1"/>
    <col min="2" max="2" width="18" customWidth="1"/>
    <col min="3" max="3" width="20.7109375" customWidth="1"/>
    <col min="4" max="4" width="10" customWidth="1"/>
    <col min="5" max="5" width="20.85546875" customWidth="1"/>
    <col min="6" max="6" width="15" customWidth="1"/>
    <col min="7" max="7" width="13" customWidth="1"/>
    <col min="8" max="9" width="9.140625" bestFit="1" customWidth="1"/>
  </cols>
  <sheetData>
    <row r="1" spans="1:9" ht="18" x14ac:dyDescent="0.25">
      <c r="A1" s="2" t="s">
        <v>0</v>
      </c>
    </row>
    <row r="2" spans="1:9" x14ac:dyDescent="0.25">
      <c r="A2" s="3" t="s">
        <v>1</v>
      </c>
    </row>
    <row r="3" spans="1:9" x14ac:dyDescent="0.25">
      <c r="B3" s="21"/>
    </row>
    <row r="4" spans="1:9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9" x14ac:dyDescent="0.25">
      <c r="A5" s="5" t="s">
        <v>9</v>
      </c>
      <c r="B5" s="5" t="s">
        <v>10</v>
      </c>
      <c r="C5" s="5" t="s">
        <v>11</v>
      </c>
      <c r="D5" s="5" t="s">
        <v>12</v>
      </c>
      <c r="E5" s="5">
        <v>12</v>
      </c>
      <c r="F5" s="6">
        <v>15</v>
      </c>
      <c r="G5" s="6">
        <f t="shared" ref="G5:G29" si="0">E5*F5</f>
        <v>180</v>
      </c>
      <c r="I5" s="10"/>
    </row>
    <row r="6" spans="1:9" x14ac:dyDescent="0.25">
      <c r="A6" s="5" t="s">
        <v>9</v>
      </c>
      <c r="B6" s="5" t="s">
        <v>13</v>
      </c>
      <c r="C6" s="5" t="s">
        <v>14</v>
      </c>
      <c r="D6" s="5" t="s">
        <v>15</v>
      </c>
      <c r="E6" s="5">
        <v>3</v>
      </c>
      <c r="F6" s="6">
        <v>89</v>
      </c>
      <c r="G6" s="6">
        <f t="shared" si="0"/>
        <v>267</v>
      </c>
    </row>
    <row r="7" spans="1:9" x14ac:dyDescent="0.25">
      <c r="A7" s="5" t="s">
        <v>16</v>
      </c>
      <c r="B7" s="5" t="s">
        <v>17</v>
      </c>
      <c r="C7" s="5" t="s">
        <v>11</v>
      </c>
      <c r="D7" s="5" t="s">
        <v>12</v>
      </c>
      <c r="E7" s="5">
        <v>25</v>
      </c>
      <c r="F7" s="6">
        <v>8.5</v>
      </c>
      <c r="G7" s="6">
        <f t="shared" si="0"/>
        <v>212.5</v>
      </c>
    </row>
    <row r="8" spans="1:9" x14ac:dyDescent="0.25">
      <c r="A8" s="5" t="s">
        <v>16</v>
      </c>
      <c r="B8" s="5" t="s">
        <v>18</v>
      </c>
      <c r="C8" s="5" t="s">
        <v>14</v>
      </c>
      <c r="D8" s="5" t="s">
        <v>19</v>
      </c>
      <c r="E8" s="5">
        <v>7</v>
      </c>
      <c r="F8" s="6">
        <v>22</v>
      </c>
      <c r="G8" s="6">
        <f t="shared" si="0"/>
        <v>154</v>
      </c>
    </row>
    <row r="9" spans="1:9" x14ac:dyDescent="0.25">
      <c r="A9" s="5" t="s">
        <v>20</v>
      </c>
      <c r="B9" s="5" t="s">
        <v>21</v>
      </c>
      <c r="C9" s="5" t="s">
        <v>22</v>
      </c>
      <c r="D9" s="5" t="s">
        <v>23</v>
      </c>
      <c r="E9" s="5">
        <v>40</v>
      </c>
      <c r="F9" s="6">
        <v>3.25</v>
      </c>
      <c r="G9" s="6">
        <f t="shared" si="0"/>
        <v>130</v>
      </c>
    </row>
    <row r="10" spans="1:9" x14ac:dyDescent="0.25">
      <c r="A10" s="5" t="s">
        <v>20</v>
      </c>
      <c r="B10" s="5" t="s">
        <v>10</v>
      </c>
      <c r="C10" s="5" t="s">
        <v>11</v>
      </c>
      <c r="D10" s="5" t="s">
        <v>15</v>
      </c>
      <c r="E10" s="5">
        <v>9</v>
      </c>
      <c r="F10" s="6">
        <v>15</v>
      </c>
      <c r="G10" s="6">
        <f t="shared" si="0"/>
        <v>135</v>
      </c>
      <c r="I10" s="10"/>
    </row>
    <row r="11" spans="1:9" x14ac:dyDescent="0.25">
      <c r="A11" s="5" t="s">
        <v>24</v>
      </c>
      <c r="B11" s="5" t="s">
        <v>25</v>
      </c>
      <c r="C11" s="5" t="s">
        <v>14</v>
      </c>
      <c r="D11" s="5" t="s">
        <v>12</v>
      </c>
      <c r="E11" s="5">
        <v>5</v>
      </c>
      <c r="F11" s="6">
        <v>34.5</v>
      </c>
      <c r="G11" s="6">
        <f t="shared" si="0"/>
        <v>172.5</v>
      </c>
    </row>
    <row r="12" spans="1:9" x14ac:dyDescent="0.25">
      <c r="A12" s="5" t="s">
        <v>24</v>
      </c>
      <c r="B12" s="5" t="s">
        <v>26</v>
      </c>
      <c r="C12" s="5" t="s">
        <v>22</v>
      </c>
      <c r="D12" s="5" t="s">
        <v>19</v>
      </c>
      <c r="E12" s="5">
        <v>60</v>
      </c>
      <c r="F12" s="6">
        <v>1.2</v>
      </c>
      <c r="G12" s="6">
        <f t="shared" si="0"/>
        <v>72</v>
      </c>
    </row>
    <row r="13" spans="1:9" x14ac:dyDescent="0.25">
      <c r="A13" s="5" t="s">
        <v>27</v>
      </c>
      <c r="B13" s="5" t="s">
        <v>28</v>
      </c>
      <c r="C13" s="5" t="s">
        <v>11</v>
      </c>
      <c r="D13" s="5" t="s">
        <v>23</v>
      </c>
      <c r="E13" s="5">
        <v>14</v>
      </c>
      <c r="F13" s="6">
        <v>42</v>
      </c>
      <c r="G13" s="6">
        <f t="shared" si="0"/>
        <v>588</v>
      </c>
      <c r="H13" s="10"/>
    </row>
    <row r="14" spans="1:9" x14ac:dyDescent="0.25">
      <c r="A14" s="5" t="s">
        <v>27</v>
      </c>
      <c r="B14" s="5" t="s">
        <v>13</v>
      </c>
      <c r="C14" s="5" t="s">
        <v>14</v>
      </c>
      <c r="D14" s="5" t="s">
        <v>12</v>
      </c>
      <c r="E14" s="5">
        <v>2</v>
      </c>
      <c r="F14" s="6">
        <v>89</v>
      </c>
      <c r="G14" s="6">
        <f t="shared" si="0"/>
        <v>178</v>
      </c>
    </row>
    <row r="15" spans="1:9" x14ac:dyDescent="0.25">
      <c r="A15" s="5" t="s">
        <v>29</v>
      </c>
      <c r="B15" s="5" t="s">
        <v>21</v>
      </c>
      <c r="C15" s="5" t="s">
        <v>22</v>
      </c>
      <c r="D15" s="5" t="s">
        <v>15</v>
      </c>
      <c r="E15" s="5">
        <v>35</v>
      </c>
      <c r="F15" s="6">
        <v>3.25</v>
      </c>
      <c r="G15" s="6">
        <f t="shared" si="0"/>
        <v>113.75</v>
      </c>
    </row>
    <row r="16" spans="1:9" x14ac:dyDescent="0.25">
      <c r="A16" s="5" t="s">
        <v>29</v>
      </c>
      <c r="B16" s="5" t="s">
        <v>17</v>
      </c>
      <c r="C16" s="5" t="s">
        <v>11</v>
      </c>
      <c r="D16" s="5" t="s">
        <v>19</v>
      </c>
      <c r="E16" s="5">
        <v>18</v>
      </c>
      <c r="F16" s="6">
        <v>8.5</v>
      </c>
      <c r="G16" s="6">
        <f t="shared" si="0"/>
        <v>153</v>
      </c>
    </row>
    <row r="17" spans="1:10" x14ac:dyDescent="0.25">
      <c r="A17" s="5" t="s">
        <v>30</v>
      </c>
      <c r="B17" s="5" t="s">
        <v>18</v>
      </c>
      <c r="C17" s="5" t="s">
        <v>14</v>
      </c>
      <c r="D17" s="5" t="s">
        <v>23</v>
      </c>
      <c r="E17" s="5">
        <v>6</v>
      </c>
      <c r="F17" s="6">
        <v>22</v>
      </c>
      <c r="G17" s="6">
        <f t="shared" si="0"/>
        <v>132</v>
      </c>
    </row>
    <row r="18" spans="1:10" x14ac:dyDescent="0.25">
      <c r="A18" s="5" t="s">
        <v>30</v>
      </c>
      <c r="B18" s="5" t="s">
        <v>10</v>
      </c>
      <c r="C18" s="5" t="s">
        <v>11</v>
      </c>
      <c r="D18" s="5" t="s">
        <v>12</v>
      </c>
      <c r="E18" s="5">
        <v>16</v>
      </c>
      <c r="F18" s="6">
        <v>15</v>
      </c>
      <c r="G18" s="6">
        <f t="shared" si="0"/>
        <v>240</v>
      </c>
    </row>
    <row r="19" spans="1:10" x14ac:dyDescent="0.25">
      <c r="A19" s="5" t="s">
        <v>31</v>
      </c>
      <c r="B19" s="5" t="s">
        <v>26</v>
      </c>
      <c r="C19" s="5" t="s">
        <v>22</v>
      </c>
      <c r="D19" s="5" t="s">
        <v>15</v>
      </c>
      <c r="E19" s="5">
        <v>75</v>
      </c>
      <c r="F19" s="6">
        <v>1.2</v>
      </c>
      <c r="G19" s="6">
        <f t="shared" si="0"/>
        <v>90</v>
      </c>
    </row>
    <row r="20" spans="1:10" x14ac:dyDescent="0.25">
      <c r="A20" s="5" t="s">
        <v>31</v>
      </c>
      <c r="B20" s="5" t="s">
        <v>25</v>
      </c>
      <c r="C20" s="5" t="s">
        <v>14</v>
      </c>
      <c r="D20" s="5" t="s">
        <v>19</v>
      </c>
      <c r="E20" s="5">
        <v>4</v>
      </c>
      <c r="F20" s="6">
        <v>34.5</v>
      </c>
      <c r="G20" s="6">
        <f t="shared" si="0"/>
        <v>138</v>
      </c>
      <c r="I20" s="10"/>
    </row>
    <row r="21" spans="1:10" x14ac:dyDescent="0.25">
      <c r="A21" s="5" t="s">
        <v>32</v>
      </c>
      <c r="B21" s="5" t="s">
        <v>28</v>
      </c>
      <c r="C21" s="5" t="s">
        <v>11</v>
      </c>
      <c r="D21" s="5" t="s">
        <v>12</v>
      </c>
      <c r="E21" s="5">
        <v>11</v>
      </c>
      <c r="F21" s="6">
        <v>42</v>
      </c>
      <c r="G21" s="6">
        <f t="shared" si="0"/>
        <v>462</v>
      </c>
    </row>
    <row r="22" spans="1:10" x14ac:dyDescent="0.25">
      <c r="A22" s="5" t="s">
        <v>32</v>
      </c>
      <c r="B22" s="5" t="s">
        <v>21</v>
      </c>
      <c r="C22" s="5" t="s">
        <v>22</v>
      </c>
      <c r="D22" s="5" t="s">
        <v>23</v>
      </c>
      <c r="E22" s="5">
        <v>28</v>
      </c>
      <c r="F22" s="6">
        <v>3.25</v>
      </c>
      <c r="G22" s="6">
        <f t="shared" si="0"/>
        <v>91</v>
      </c>
    </row>
    <row r="23" spans="1:10" x14ac:dyDescent="0.25">
      <c r="A23" s="5" t="s">
        <v>33</v>
      </c>
      <c r="B23" s="5" t="s">
        <v>13</v>
      </c>
      <c r="C23" s="5" t="s">
        <v>14</v>
      </c>
      <c r="D23" s="5" t="s">
        <v>15</v>
      </c>
      <c r="E23" s="5">
        <v>5</v>
      </c>
      <c r="F23" s="6">
        <v>89</v>
      </c>
      <c r="G23" s="6">
        <f t="shared" si="0"/>
        <v>445</v>
      </c>
    </row>
    <row r="24" spans="1:10" x14ac:dyDescent="0.25">
      <c r="A24" s="5" t="s">
        <v>33</v>
      </c>
      <c r="B24" s="5" t="s">
        <v>17</v>
      </c>
      <c r="C24" s="5" t="s">
        <v>11</v>
      </c>
      <c r="D24" s="5" t="s">
        <v>23</v>
      </c>
      <c r="E24" s="5">
        <v>30</v>
      </c>
      <c r="F24" s="6">
        <v>8.5</v>
      </c>
      <c r="G24" s="6">
        <f t="shared" si="0"/>
        <v>255</v>
      </c>
    </row>
    <row r="25" spans="1:10" x14ac:dyDescent="0.25">
      <c r="A25" s="5" t="s">
        <v>34</v>
      </c>
      <c r="B25" s="5" t="s">
        <v>18</v>
      </c>
      <c r="C25" s="5" t="s">
        <v>14</v>
      </c>
      <c r="D25" s="5" t="s">
        <v>12</v>
      </c>
      <c r="E25" s="5">
        <v>9</v>
      </c>
      <c r="F25" s="6">
        <v>22</v>
      </c>
      <c r="G25" s="6">
        <f t="shared" si="0"/>
        <v>198</v>
      </c>
    </row>
    <row r="26" spans="1:10" x14ac:dyDescent="0.25">
      <c r="A26" s="5" t="s">
        <v>34</v>
      </c>
      <c r="B26" s="5" t="s">
        <v>26</v>
      </c>
      <c r="C26" s="5" t="s">
        <v>22</v>
      </c>
      <c r="D26" s="5" t="s">
        <v>19</v>
      </c>
      <c r="E26" s="5">
        <v>50</v>
      </c>
      <c r="F26" s="6">
        <v>1.2</v>
      </c>
      <c r="G26" s="6">
        <f t="shared" si="0"/>
        <v>60</v>
      </c>
    </row>
    <row r="27" spans="1:10" x14ac:dyDescent="0.25">
      <c r="A27" s="5" t="s">
        <v>35</v>
      </c>
      <c r="B27" s="5" t="s">
        <v>10</v>
      </c>
      <c r="C27" s="5" t="s">
        <v>11</v>
      </c>
      <c r="D27" s="5" t="s">
        <v>15</v>
      </c>
      <c r="E27" s="5">
        <v>20</v>
      </c>
      <c r="F27" s="6">
        <v>15</v>
      </c>
      <c r="G27" s="6">
        <f t="shared" si="0"/>
        <v>300</v>
      </c>
    </row>
    <row r="28" spans="1:10" x14ac:dyDescent="0.25">
      <c r="A28" s="5" t="s">
        <v>35</v>
      </c>
      <c r="B28" s="5" t="s">
        <v>25</v>
      </c>
      <c r="C28" s="5" t="s">
        <v>14</v>
      </c>
      <c r="D28" s="5" t="s">
        <v>23</v>
      </c>
      <c r="E28" s="5">
        <v>3</v>
      </c>
      <c r="F28" s="6">
        <v>34.5</v>
      </c>
      <c r="G28" s="6">
        <f t="shared" si="0"/>
        <v>103.5</v>
      </c>
    </row>
    <row r="29" spans="1:10" x14ac:dyDescent="0.25">
      <c r="A29" s="11" t="s">
        <v>36</v>
      </c>
      <c r="B29" s="11" t="s">
        <v>28</v>
      </c>
      <c r="C29" s="11" t="s">
        <v>11</v>
      </c>
      <c r="D29" s="11" t="s">
        <v>19</v>
      </c>
      <c r="E29" s="11">
        <v>8</v>
      </c>
      <c r="F29" s="12">
        <v>42</v>
      </c>
      <c r="G29" s="6">
        <f t="shared" si="0"/>
        <v>336</v>
      </c>
    </row>
    <row r="30" spans="1:10" x14ac:dyDescent="0.25">
      <c r="A30" s="18" t="s">
        <v>65</v>
      </c>
      <c r="B30" s="14">
        <f>SUM(G5:G29)</f>
        <v>5206.25</v>
      </c>
      <c r="C30" s="16" t="s">
        <v>63</v>
      </c>
      <c r="D30" s="19">
        <f>MAX(G5:G29)</f>
        <v>588</v>
      </c>
      <c r="E30" s="16" t="s">
        <v>68</v>
      </c>
      <c r="F30" s="23">
        <f>SUM(E5:E29)</f>
        <v>495</v>
      </c>
      <c r="G30" s="10"/>
    </row>
    <row r="31" spans="1:10" x14ac:dyDescent="0.25">
      <c r="A31" s="15" t="s">
        <v>66</v>
      </c>
      <c r="B31" s="23">
        <f>AVERAGE(E5:E29)</f>
        <v>19.8</v>
      </c>
      <c r="C31" s="15" t="s">
        <v>64</v>
      </c>
      <c r="D31" s="20">
        <f>MIN(F5:F29)</f>
        <v>1.2</v>
      </c>
      <c r="E31" s="15" t="s">
        <v>69</v>
      </c>
      <c r="F31" s="13">
        <f>MAX(E5:E29)</f>
        <v>75</v>
      </c>
      <c r="I31" s="10"/>
    </row>
    <row r="32" spans="1:10" x14ac:dyDescent="0.25">
      <c r="A32" s="16" t="s">
        <v>62</v>
      </c>
      <c r="B32" s="13">
        <f>COUNT(E5:E29)</f>
        <v>25</v>
      </c>
      <c r="C32" s="16" t="s">
        <v>67</v>
      </c>
      <c r="D32" s="14">
        <f>AVERAGE(F5:F29)</f>
        <v>26.454000000000001</v>
      </c>
      <c r="E32" s="22"/>
      <c r="F32" s="13"/>
      <c r="J32" s="10"/>
    </row>
    <row r="34" spans="1:1" x14ac:dyDescent="0.25">
      <c r="A34" s="1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zoomScale="85" zoomScaleNormal="85" workbookViewId="0">
      <selection activeCell="F17" sqref="F17"/>
    </sheetView>
  </sheetViews>
  <sheetFormatPr defaultColWidth="8.7109375" defaultRowHeight="15" x14ac:dyDescent="0.25"/>
  <cols>
    <col min="1" max="1" width="6" customWidth="1"/>
    <col min="2" max="2" width="55" customWidth="1"/>
    <col min="3" max="5" width="4" customWidth="1"/>
    <col min="6" max="6" width="16" customWidth="1"/>
  </cols>
  <sheetData>
    <row r="1" spans="1:6" ht="18" x14ac:dyDescent="0.25">
      <c r="A1" s="2" t="s">
        <v>38</v>
      </c>
    </row>
    <row r="2" spans="1:6" x14ac:dyDescent="0.25">
      <c r="A2" s="3" t="s">
        <v>39</v>
      </c>
    </row>
    <row r="4" spans="1:6" x14ac:dyDescent="0.25">
      <c r="A4" s="7" t="s">
        <v>40</v>
      </c>
      <c r="B4" s="24" t="s">
        <v>41</v>
      </c>
      <c r="C4" s="24"/>
      <c r="D4" s="24"/>
      <c r="E4" s="24"/>
      <c r="F4" s="17">
        <f>SUM('Sales Data'!G5:G29)</f>
        <v>5206.25</v>
      </c>
    </row>
    <row r="5" spans="1:6" x14ac:dyDescent="0.25">
      <c r="B5" s="25"/>
      <c r="C5" s="25"/>
      <c r="D5" s="25"/>
      <c r="E5" s="25"/>
    </row>
    <row r="7" spans="1:6" x14ac:dyDescent="0.25">
      <c r="A7" s="7" t="s">
        <v>42</v>
      </c>
      <c r="B7" s="24" t="s">
        <v>43</v>
      </c>
      <c r="C7" s="24"/>
      <c r="D7" s="24"/>
      <c r="E7" s="24"/>
      <c r="F7" s="8">
        <f>AVERAGE('Sales Data'!E5:E29)</f>
        <v>19.8</v>
      </c>
    </row>
    <row r="8" spans="1:6" x14ac:dyDescent="0.25">
      <c r="B8" s="25"/>
      <c r="C8" s="25"/>
      <c r="D8" s="25"/>
      <c r="E8" s="25"/>
    </row>
    <row r="10" spans="1:6" x14ac:dyDescent="0.25">
      <c r="A10" s="7" t="s">
        <v>44</v>
      </c>
      <c r="B10" s="24" t="s">
        <v>45</v>
      </c>
      <c r="C10" s="24"/>
      <c r="D10" s="24"/>
      <c r="E10" s="24"/>
      <c r="F10" s="8">
        <f>COUNT('Sales Data'!G5:G29)</f>
        <v>25</v>
      </c>
    </row>
    <row r="11" spans="1:6" x14ac:dyDescent="0.25">
      <c r="B11" s="25"/>
      <c r="C11" s="25"/>
      <c r="D11" s="25"/>
      <c r="E11" s="25"/>
    </row>
    <row r="13" spans="1:6" x14ac:dyDescent="0.25">
      <c r="A13" s="7" t="s">
        <v>46</v>
      </c>
      <c r="B13" s="24" t="s">
        <v>47</v>
      </c>
      <c r="C13" s="24"/>
      <c r="D13" s="24"/>
      <c r="E13" s="24"/>
      <c r="F13" s="8">
        <f>MAX('Sales Data'!G5:G29)</f>
        <v>588</v>
      </c>
    </row>
    <row r="14" spans="1:6" x14ac:dyDescent="0.25">
      <c r="B14" s="25"/>
      <c r="C14" s="25"/>
      <c r="D14" s="25"/>
      <c r="E14" s="25"/>
    </row>
    <row r="16" spans="1:6" x14ac:dyDescent="0.25">
      <c r="A16" s="7" t="s">
        <v>48</v>
      </c>
      <c r="B16" s="24" t="s">
        <v>49</v>
      </c>
      <c r="C16" s="24"/>
      <c r="D16" s="24"/>
      <c r="E16" s="24"/>
      <c r="F16" s="8">
        <f>MIN('Sales Data'!F5:F29)</f>
        <v>1.2</v>
      </c>
    </row>
    <row r="17" spans="1:6" x14ac:dyDescent="0.25">
      <c r="B17" s="25"/>
      <c r="C17" s="25"/>
      <c r="D17" s="25"/>
      <c r="E17" s="25"/>
    </row>
    <row r="19" spans="1:6" x14ac:dyDescent="0.25">
      <c r="A19" s="7" t="s">
        <v>50</v>
      </c>
      <c r="B19" s="24" t="s">
        <v>51</v>
      </c>
      <c r="C19" s="24"/>
      <c r="D19" s="24"/>
      <c r="E19" s="24"/>
      <c r="F19" s="8">
        <f>AVERAGE('Sales Data'!F5:F29)</f>
        <v>26.454000000000001</v>
      </c>
    </row>
    <row r="20" spans="1:6" x14ac:dyDescent="0.25">
      <c r="B20" s="25"/>
      <c r="C20" s="25"/>
      <c r="D20" s="25"/>
      <c r="E20" s="25"/>
    </row>
    <row r="22" spans="1:6" x14ac:dyDescent="0.25">
      <c r="A22" s="7" t="s">
        <v>52</v>
      </c>
      <c r="B22" s="24" t="s">
        <v>53</v>
      </c>
      <c r="C22" s="24"/>
      <c r="D22" s="24"/>
      <c r="E22" s="24"/>
      <c r="F22" s="8">
        <f>SUM('Sales Data'!E5:E29)</f>
        <v>495</v>
      </c>
    </row>
    <row r="23" spans="1:6" x14ac:dyDescent="0.25">
      <c r="B23" s="25"/>
      <c r="C23" s="25"/>
      <c r="D23" s="25"/>
      <c r="E23" s="25"/>
    </row>
    <row r="25" spans="1:6" x14ac:dyDescent="0.25">
      <c r="A25" s="7" t="s">
        <v>54</v>
      </c>
      <c r="B25" s="24" t="s">
        <v>55</v>
      </c>
      <c r="C25" s="24"/>
      <c r="D25" s="24"/>
      <c r="E25" s="24"/>
      <c r="F25" s="8">
        <f>MAX('Sales Data'!E5:E29)</f>
        <v>75</v>
      </c>
    </row>
    <row r="26" spans="1:6" x14ac:dyDescent="0.25">
      <c r="B26" s="25"/>
      <c r="C26" s="25"/>
      <c r="D26" s="25"/>
      <c r="E26" s="25"/>
    </row>
    <row r="29" spans="1:6" x14ac:dyDescent="0.25">
      <c r="A29" s="1" t="s">
        <v>56</v>
      </c>
    </row>
    <row r="30" spans="1:6" x14ac:dyDescent="0.25">
      <c r="A30" s="1" t="s">
        <v>57</v>
      </c>
    </row>
  </sheetData>
  <mergeCells count="16">
    <mergeCell ref="B26:E26"/>
    <mergeCell ref="B19:E19"/>
    <mergeCell ref="B20:E20"/>
    <mergeCell ref="B22:E22"/>
    <mergeCell ref="B23:E23"/>
    <mergeCell ref="B25:E25"/>
    <mergeCell ref="B11:E11"/>
    <mergeCell ref="B13:E13"/>
    <mergeCell ref="B14:E14"/>
    <mergeCell ref="B16:E16"/>
    <mergeCell ref="B17:E17"/>
    <mergeCell ref="B4:E4"/>
    <mergeCell ref="B5:E5"/>
    <mergeCell ref="B7:E7"/>
    <mergeCell ref="B8:E8"/>
    <mergeCell ref="B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40" customWidth="1"/>
    <col min="3" max="3" width="16" customWidth="1"/>
  </cols>
  <sheetData>
    <row r="1" spans="1:3" ht="18" x14ac:dyDescent="0.25">
      <c r="A1" s="2" t="s">
        <v>58</v>
      </c>
    </row>
    <row r="3" spans="1:3" x14ac:dyDescent="0.25">
      <c r="A3" s="9" t="s">
        <v>59</v>
      </c>
      <c r="B3" s="9" t="s">
        <v>60</v>
      </c>
      <c r="C3" s="9" t="s">
        <v>61</v>
      </c>
    </row>
    <row r="4" spans="1:3" x14ac:dyDescent="0.25">
      <c r="A4" t="s">
        <v>40</v>
      </c>
      <c r="B4" s="10">
        <f>SUM('Sales Data'!G5:G29)</f>
        <v>5206.25</v>
      </c>
      <c r="C4" s="10">
        <f>SUM('Sales Data'!G5:G29)</f>
        <v>5206.25</v>
      </c>
    </row>
    <row r="5" spans="1:3" x14ac:dyDescent="0.25">
      <c r="A5" t="s">
        <v>42</v>
      </c>
      <c r="B5">
        <f>AVERAGE('Sales Data'!E5:E29)</f>
        <v>19.8</v>
      </c>
      <c r="C5">
        <f>AVERAGE('Sales Data'!E5:E29)</f>
        <v>19.8</v>
      </c>
    </row>
    <row r="6" spans="1:3" x14ac:dyDescent="0.25">
      <c r="A6" t="s">
        <v>44</v>
      </c>
      <c r="B6">
        <f>COUNT('Sales Data'!E5:E29)</f>
        <v>25</v>
      </c>
      <c r="C6">
        <f>COUNT('Sales Data'!E5:E29)</f>
        <v>25</v>
      </c>
    </row>
    <row r="7" spans="1:3" x14ac:dyDescent="0.25">
      <c r="A7" t="s">
        <v>46</v>
      </c>
      <c r="B7" s="10">
        <f>MAX('Sales Data'!G5:G29)</f>
        <v>588</v>
      </c>
      <c r="C7" s="10">
        <f>MAX('Sales Data'!G5:G29)</f>
        <v>588</v>
      </c>
    </row>
    <row r="8" spans="1:3" x14ac:dyDescent="0.25">
      <c r="A8" t="s">
        <v>48</v>
      </c>
      <c r="B8" s="10">
        <f>MIN('Sales Data'!F5:F29)</f>
        <v>1.2</v>
      </c>
      <c r="C8" s="10">
        <f>MIN('Sales Data'!F5:F29)</f>
        <v>1.2</v>
      </c>
    </row>
    <row r="9" spans="1:3" x14ac:dyDescent="0.25">
      <c r="A9" t="s">
        <v>50</v>
      </c>
      <c r="B9" s="10">
        <f>AVERAGE('Sales Data'!F5:F29)</f>
        <v>26.454000000000001</v>
      </c>
      <c r="C9" s="10">
        <f>AVERAGE('Sales Data'!F5:F29)</f>
        <v>26.454000000000001</v>
      </c>
    </row>
    <row r="10" spans="1:3" x14ac:dyDescent="0.25">
      <c r="A10" t="s">
        <v>52</v>
      </c>
      <c r="B10">
        <f>SUM('Sales Data'!E5:E29)</f>
        <v>495</v>
      </c>
      <c r="C10">
        <f>SUM('Sales Data'!E5:E29)</f>
        <v>495</v>
      </c>
    </row>
    <row r="11" spans="1:3" x14ac:dyDescent="0.25">
      <c r="A11" t="s">
        <v>54</v>
      </c>
      <c r="B11">
        <f>MAX('Sales Data'!E5:E29)</f>
        <v>75</v>
      </c>
      <c r="C11">
        <f>MAX('Sales Data'!E5:E29)</f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Practice — Week 1</vt:lpstr>
      <vt:lpstr>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Mudasir Ahmed</cp:lastModifiedBy>
  <cp:revision>0</cp:revision>
  <dcterms:created xsi:type="dcterms:W3CDTF">2026-07-08T04:16:47Z</dcterms:created>
  <dcterms:modified xsi:type="dcterms:W3CDTF">2026-07-08T06:26:12Z</dcterms:modified>
  <dc:language>en-US</dc:language>
</cp:coreProperties>
</file>